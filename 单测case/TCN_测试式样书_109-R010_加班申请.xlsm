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505" yWindow="780" windowWidth="14835" windowHeight="9450" tabRatio="922" activeTab="3"/>
  </bookViews>
  <sheets>
    <sheet name="TCN_保存提交_001" sheetId="153" r:id="rId1"/>
    <sheet name="TCN_保存提交_002" sheetId="155" r:id="rId2"/>
    <sheet name="TCN_保存提交_003" sheetId="157" r:id="rId3"/>
    <sheet name="TCN_删除_004" sheetId="156" r:id="rId4"/>
  </sheets>
  <functionGroups builtInGroupCount="17"/>
  <definedNames>
    <definedName name="_xlnm.Print_Area" localSheetId="0">TCN_保存提交_001!$A$1:$X$58</definedName>
    <definedName name="_xlnm.Print_Area" localSheetId="1">TCN_保存提交_002!$A$1:$X$58</definedName>
    <definedName name="_xlnm.Print_Area" localSheetId="2">TCN_保存提交_003!$A$1:$X$58</definedName>
    <definedName name="_xlnm.Print_Area" localSheetId="3">TCN_删除_004!$A$1:$X$58</definedName>
  </definedNames>
  <calcPr calcId="145621"/>
</workbook>
</file>

<file path=xl/calcChain.xml><?xml version="1.0" encoding="utf-8"?>
<calcChain xmlns="http://schemas.openxmlformats.org/spreadsheetml/2006/main">
  <c r="X53" i="157" l="1"/>
  <c r="X60" i="157" s="1"/>
  <c r="W53" i="157"/>
  <c r="W60" i="157" s="1"/>
  <c r="V53" i="157"/>
  <c r="V60" i="157" s="1"/>
  <c r="U53" i="157"/>
  <c r="U60" i="157" s="1"/>
  <c r="T53" i="157"/>
  <c r="T60" i="157" s="1"/>
  <c r="S53" i="157"/>
  <c r="S60" i="157" s="1"/>
  <c r="R53" i="157"/>
  <c r="R60" i="157" s="1"/>
  <c r="Q53" i="157"/>
  <c r="Q60" i="157" s="1"/>
  <c r="P53" i="157"/>
  <c r="P60" i="157" s="1"/>
  <c r="O53" i="157"/>
  <c r="O60" i="157" s="1"/>
  <c r="N53" i="157"/>
  <c r="N60" i="157" s="1"/>
  <c r="M53" i="157"/>
  <c r="M60" i="157" s="1"/>
  <c r="L53" i="157"/>
  <c r="L60" i="157" s="1"/>
  <c r="K53" i="157"/>
  <c r="K60" i="157" s="1"/>
  <c r="J53" i="157"/>
  <c r="J60" i="157" s="1"/>
  <c r="I53" i="157"/>
  <c r="I60" i="157" s="1"/>
  <c r="H53" i="157"/>
  <c r="H7" i="157" s="1"/>
  <c r="G53" i="157"/>
  <c r="G60" i="157" s="1"/>
  <c r="F53" i="157"/>
  <c r="F60" i="157" s="1"/>
  <c r="E53" i="157"/>
  <c r="E60" i="157" s="1"/>
  <c r="X7" i="157"/>
  <c r="W7" i="157"/>
  <c r="V7" i="157"/>
  <c r="U7" i="157"/>
  <c r="T7" i="157"/>
  <c r="S7" i="157"/>
  <c r="R7" i="157"/>
  <c r="Q7" i="157"/>
  <c r="P7" i="157"/>
  <c r="O7" i="157"/>
  <c r="N7" i="157"/>
  <c r="M7" i="157"/>
  <c r="L7" i="157"/>
  <c r="K7" i="157"/>
  <c r="J7" i="157"/>
  <c r="I7" i="157"/>
  <c r="F7" i="157"/>
  <c r="E62" i="157"/>
  <c r="E63" i="157"/>
  <c r="E61" i="157"/>
  <c r="E64" i="157"/>
  <c r="G7" i="157" l="1"/>
  <c r="H59" i="157"/>
  <c r="L59" i="157"/>
  <c r="P59" i="157"/>
  <c r="T59" i="157"/>
  <c r="X59" i="157"/>
  <c r="H60" i="157"/>
  <c r="I59" i="157"/>
  <c r="M59" i="157"/>
  <c r="Q59" i="157"/>
  <c r="U59" i="157"/>
  <c r="G59" i="157"/>
  <c r="K59" i="157"/>
  <c r="O59" i="157"/>
  <c r="S59" i="157"/>
  <c r="W59" i="157"/>
  <c r="F59" i="157"/>
  <c r="J59" i="157"/>
  <c r="N59" i="157"/>
  <c r="R59" i="157"/>
  <c r="V59" i="157"/>
  <c r="X53" i="156"/>
  <c r="X60" i="156" s="1"/>
  <c r="W53" i="156"/>
  <c r="W60" i="156" s="1"/>
  <c r="V53" i="156"/>
  <c r="V60" i="156" s="1"/>
  <c r="U53" i="156"/>
  <c r="U60" i="156" s="1"/>
  <c r="T53" i="156"/>
  <c r="T60" i="156" s="1"/>
  <c r="S53" i="156"/>
  <c r="S60" i="156" s="1"/>
  <c r="R53" i="156"/>
  <c r="R60" i="156" s="1"/>
  <c r="Q53" i="156"/>
  <c r="Q60" i="156" s="1"/>
  <c r="P53" i="156"/>
  <c r="P60" i="156" s="1"/>
  <c r="O53" i="156"/>
  <c r="O60" i="156" s="1"/>
  <c r="N53" i="156"/>
  <c r="N60" i="156" s="1"/>
  <c r="M53" i="156"/>
  <c r="M60" i="156" s="1"/>
  <c r="L53" i="156"/>
  <c r="L60" i="156" s="1"/>
  <c r="K53" i="156"/>
  <c r="K60" i="156" s="1"/>
  <c r="J53" i="156"/>
  <c r="J60" i="156" s="1"/>
  <c r="I53" i="156"/>
  <c r="I60" i="156" s="1"/>
  <c r="H53" i="156"/>
  <c r="H60" i="156" s="1"/>
  <c r="G53" i="156"/>
  <c r="G60" i="156" s="1"/>
  <c r="F53" i="156"/>
  <c r="F60" i="156" s="1"/>
  <c r="E53" i="156"/>
  <c r="E60" i="156" s="1"/>
  <c r="E59" i="157"/>
  <c r="E62" i="156"/>
  <c r="E61" i="156"/>
  <c r="E64" i="156"/>
  <c r="E63" i="156"/>
  <c r="E7" i="157" l="1"/>
  <c r="X53" i="155"/>
  <c r="X60" i="155" s="1"/>
  <c r="W53" i="155"/>
  <c r="W60" i="155" s="1"/>
  <c r="V53" i="155"/>
  <c r="V60" i="155" s="1"/>
  <c r="U53" i="155"/>
  <c r="U60" i="155" s="1"/>
  <c r="T53" i="155"/>
  <c r="T60" i="155" s="1"/>
  <c r="S53" i="155"/>
  <c r="S60" i="155" s="1"/>
  <c r="R53" i="155"/>
  <c r="R60" i="155" s="1"/>
  <c r="Q53" i="155"/>
  <c r="Q60" i="155" s="1"/>
  <c r="P53" i="155"/>
  <c r="P60" i="155" s="1"/>
  <c r="O53" i="155"/>
  <c r="O60" i="155" s="1"/>
  <c r="N53" i="155"/>
  <c r="N60" i="155" s="1"/>
  <c r="M53" i="155"/>
  <c r="M60" i="155" s="1"/>
  <c r="L53" i="155"/>
  <c r="L60" i="155" s="1"/>
  <c r="K53" i="155"/>
  <c r="K60" i="155" s="1"/>
  <c r="J53" i="155"/>
  <c r="J60" i="155" s="1"/>
  <c r="I53" i="155"/>
  <c r="I60" i="155" s="1"/>
  <c r="H53" i="155"/>
  <c r="H60" i="155" s="1"/>
  <c r="G53" i="155"/>
  <c r="G60" i="155" s="1"/>
  <c r="F53" i="155"/>
  <c r="F60" i="155" s="1"/>
  <c r="E53" i="155"/>
  <c r="E60" i="155" s="1"/>
  <c r="E59" i="156"/>
  <c r="E61" i="155"/>
  <c r="E62" i="155"/>
  <c r="E64" i="155"/>
  <c r="E63" i="155"/>
  <c r="E7" i="156" l="1"/>
  <c r="F59" i="156"/>
  <c r="F7" i="156" s="1"/>
  <c r="X53" i="153"/>
  <c r="X60" i="153" s="1"/>
  <c r="W53" i="153"/>
  <c r="W60" i="153" s="1"/>
  <c r="V53" i="153"/>
  <c r="V60" i="153" s="1"/>
  <c r="U53" i="153"/>
  <c r="U60" i="153" s="1"/>
  <c r="T53" i="153"/>
  <c r="T60" i="153" s="1"/>
  <c r="S53" i="153"/>
  <c r="S60" i="153" s="1"/>
  <c r="R53" i="153"/>
  <c r="R60" i="153" s="1"/>
  <c r="Q53" i="153"/>
  <c r="Q60" i="153" s="1"/>
  <c r="P53" i="153"/>
  <c r="P60" i="153" s="1"/>
  <c r="O53" i="153"/>
  <c r="O60" i="153" s="1"/>
  <c r="N53" i="153"/>
  <c r="N60" i="153" s="1"/>
  <c r="M53" i="153"/>
  <c r="M60" i="153" s="1"/>
  <c r="L53" i="153"/>
  <c r="L60" i="153" s="1"/>
  <c r="K53" i="153"/>
  <c r="K60" i="153" s="1"/>
  <c r="J53" i="153"/>
  <c r="J60" i="153" s="1"/>
  <c r="I53" i="153"/>
  <c r="I60" i="153" s="1"/>
  <c r="H53" i="153"/>
  <c r="H60" i="153" s="1"/>
  <c r="G53" i="153"/>
  <c r="G60" i="153" s="1"/>
  <c r="F53" i="153"/>
  <c r="F60" i="153" s="1"/>
  <c r="E53" i="153"/>
  <c r="E60" i="153" s="1"/>
  <c r="E59" i="155"/>
  <c r="E64" i="153"/>
  <c r="E63" i="153"/>
  <c r="E61" i="153"/>
  <c r="E62" i="153"/>
  <c r="G59" i="156" l="1"/>
  <c r="E7" i="155"/>
  <c r="F59" i="155"/>
  <c r="F7" i="155" s="1"/>
  <c r="E59" i="153"/>
  <c r="E7" i="153" l="1"/>
  <c r="F59" i="153"/>
  <c r="F7" i="153" s="1"/>
  <c r="G7" i="156"/>
  <c r="H59" i="156"/>
  <c r="G59" i="155"/>
  <c r="H59" i="155" s="1"/>
  <c r="G59" i="153"/>
  <c r="H7" i="156" l="1"/>
  <c r="I59" i="156"/>
  <c r="H7" i="155"/>
  <c r="G7" i="155"/>
  <c r="I59" i="155"/>
  <c r="I7" i="155" s="1"/>
  <c r="G7" i="153"/>
  <c r="H59" i="153"/>
  <c r="I7" i="156" l="1"/>
  <c r="J59" i="156"/>
  <c r="J59" i="155"/>
  <c r="J7" i="155" s="1"/>
  <c r="H7" i="153"/>
  <c r="I59" i="153"/>
  <c r="J59" i="153" s="1"/>
  <c r="J7" i="153" s="1"/>
  <c r="J7" i="156" l="1"/>
  <c r="K59" i="156"/>
  <c r="L59" i="156" s="1"/>
  <c r="K59" i="155"/>
  <c r="K7" i="155" s="1"/>
  <c r="K59" i="153"/>
  <c r="K7" i="153" s="1"/>
  <c r="I7" i="153"/>
  <c r="L7" i="156" l="1"/>
  <c r="M59" i="156"/>
  <c r="K7" i="156"/>
  <c r="L59" i="155"/>
  <c r="L7" i="155" s="1"/>
  <c r="L59" i="153"/>
  <c r="L7" i="153" s="1"/>
  <c r="M7" i="156" l="1"/>
  <c r="N59" i="156"/>
  <c r="M59" i="155"/>
  <c r="M7" i="155" s="1"/>
  <c r="M59" i="153"/>
  <c r="M7" i="153" s="1"/>
  <c r="N7" i="156" l="1"/>
  <c r="O59" i="156"/>
  <c r="N59" i="155"/>
  <c r="N7" i="155" s="1"/>
  <c r="N59" i="153"/>
  <c r="N7" i="153" s="1"/>
  <c r="O7" i="156" l="1"/>
  <c r="P59" i="156"/>
  <c r="O59" i="155"/>
  <c r="O7" i="155" s="1"/>
  <c r="O59" i="153"/>
  <c r="O7" i="153" s="1"/>
  <c r="P7" i="156" l="1"/>
  <c r="Q59" i="156"/>
  <c r="P59" i="155"/>
  <c r="P7" i="155" s="1"/>
  <c r="P59" i="153"/>
  <c r="Q59" i="153" s="1"/>
  <c r="Q7" i="156" l="1"/>
  <c r="R59" i="156"/>
  <c r="Q59" i="155"/>
  <c r="Q7" i="155" s="1"/>
  <c r="P7" i="153"/>
  <c r="Q7" i="153"/>
  <c r="R59" i="153"/>
  <c r="R7" i="156" l="1"/>
  <c r="S59" i="156"/>
  <c r="R59" i="155"/>
  <c r="R7" i="155" s="1"/>
  <c r="R7" i="153"/>
  <c r="S59" i="153"/>
  <c r="S7" i="156" l="1"/>
  <c r="T59" i="156"/>
  <c r="S59" i="155"/>
  <c r="S7" i="155" s="1"/>
  <c r="S7" i="153"/>
  <c r="T59" i="153"/>
  <c r="T7" i="156" l="1"/>
  <c r="U59" i="156"/>
  <c r="T59" i="155"/>
  <c r="T7" i="155" s="1"/>
  <c r="T7" i="153"/>
  <c r="U59" i="153"/>
  <c r="U7" i="156" l="1"/>
  <c r="V59" i="156"/>
  <c r="U59" i="155"/>
  <c r="U7" i="155" s="1"/>
  <c r="U7" i="153"/>
  <c r="V59" i="153"/>
  <c r="V7" i="156" l="1"/>
  <c r="W59" i="156"/>
  <c r="V59" i="155"/>
  <c r="V7" i="155" s="1"/>
  <c r="V7" i="153"/>
  <c r="W59" i="153"/>
  <c r="W7" i="156" l="1"/>
  <c r="X59" i="156"/>
  <c r="X7" i="156" s="1"/>
  <c r="W59" i="155"/>
  <c r="W7" i="155" s="1"/>
  <c r="W7" i="153"/>
  <c r="X59" i="153"/>
  <c r="X7" i="153" s="1"/>
  <c r="X59" i="155" l="1"/>
  <c r="X7" i="155" s="1"/>
</calcChain>
</file>

<file path=xl/sharedStrings.xml><?xml version="1.0" encoding="utf-8"?>
<sst xmlns="http://schemas.openxmlformats.org/spreadsheetml/2006/main" count="555" uniqueCount="151">
  <si>
    <t>作  成</t>
  </si>
  <si>
    <t>正常件数</t>
    <rPh sb="0" eb="2">
      <t>セイジョウ</t>
    </rPh>
    <rPh sb="2" eb="4">
      <t>ケンスウ</t>
    </rPh>
    <phoneticPr fontId="2"/>
  </si>
  <si>
    <t>異常件数</t>
    <rPh sb="0" eb="2">
      <t>イジョウ</t>
    </rPh>
    <rPh sb="2" eb="4">
      <t>ケンスウ</t>
    </rPh>
    <phoneticPr fontId="2"/>
  </si>
  <si>
    <t>境界件数</t>
    <rPh sb="0" eb="2">
      <t>キョウカイ</t>
    </rPh>
    <rPh sb="2" eb="4">
      <t>ケンスウ</t>
    </rPh>
    <phoneticPr fontId="2"/>
  </si>
  <si>
    <t>テスト工程</t>
    <rPh sb="3" eb="5">
      <t>コウテイ</t>
    </rPh>
    <phoneticPr fontId="2"/>
  </si>
  <si>
    <t>状態</t>
    <rPh sb="0" eb="2">
      <t>ジョウタイ</t>
    </rPh>
    <phoneticPr fontId="2"/>
  </si>
  <si>
    <t>ヘッダ文字</t>
    <rPh sb="3" eb="5">
      <t>モジ</t>
    </rPh>
    <phoneticPr fontId="2"/>
  </si>
  <si>
    <t>IF件数</t>
    <rPh sb="2" eb="4">
      <t>ケンスウ</t>
    </rPh>
    <phoneticPr fontId="2"/>
  </si>
  <si>
    <t>○ ○</t>
    <phoneticPr fontId="2"/>
  </si>
  <si>
    <t>000</t>
    <phoneticPr fontId="2"/>
  </si>
  <si>
    <t>CL-ID番号</t>
    <rPh sb="0" eb="7">
      <t>バンゴウ</t>
    </rPh>
    <phoneticPr fontId="2"/>
  </si>
  <si>
    <t>P.1</t>
    <phoneticPr fontId="2"/>
  </si>
  <si>
    <t>CLシート名</t>
    <rPh sb="0" eb="6">
      <t>メイ</t>
    </rPh>
    <phoneticPr fontId="2"/>
  </si>
  <si>
    <t>C</t>
  </si>
  <si>
    <t>L</t>
  </si>
  <si>
    <t>情</t>
  </si>
  <si>
    <t>報</t>
  </si>
  <si>
    <t>FrontSystem on GBS for TCN</t>
    <phoneticPr fontId="2"/>
  </si>
  <si>
    <t>FunctionID</t>
    <phoneticPr fontId="2"/>
  </si>
  <si>
    <t>Unit Check List</t>
    <phoneticPr fontId="2"/>
  </si>
  <si>
    <t>Title</t>
    <phoneticPr fontId="2"/>
  </si>
  <si>
    <t>检查条件/确认内容</t>
    <phoneticPr fontId="2"/>
  </si>
  <si>
    <r>
      <rPr>
        <sz val="9"/>
        <rFont val="ＭＳ Ｐゴシック"/>
        <family val="2"/>
        <charset val="128"/>
      </rPr>
      <t>ﾁｪｯｸ</t>
    </r>
    <r>
      <rPr>
        <sz val="9"/>
        <rFont val="华文细黑"/>
        <family val="3"/>
        <charset val="134"/>
      </rPr>
      <t>ID</t>
    </r>
  </si>
  <si>
    <t>检查条件</t>
    <phoneticPr fontId="2"/>
  </si>
  <si>
    <t>确认内容</t>
    <phoneticPr fontId="2"/>
  </si>
  <si>
    <t>测试名称</t>
    <phoneticPr fontId="2"/>
  </si>
  <si>
    <t>模块名称</t>
    <phoneticPr fontId="2"/>
  </si>
  <si>
    <t>RFC管理号码</t>
    <phoneticPr fontId="2"/>
  </si>
  <si>
    <t>确认</t>
    <phoneticPr fontId="2"/>
  </si>
  <si>
    <t>确认人            REVIEW人</t>
    <phoneticPr fontId="2"/>
  </si>
  <si>
    <t>备注</t>
    <phoneticPr fontId="2"/>
  </si>
  <si>
    <t>测试式样书号</t>
    <phoneticPr fontId="2"/>
  </si>
  <si>
    <t>正常/异常
范围/接口</t>
    <phoneticPr fontId="2"/>
  </si>
  <si>
    <t>确认日</t>
    <phoneticPr fontId="2"/>
  </si>
  <si>
    <t>Review日</t>
    <phoneticPr fontId="2"/>
  </si>
  <si>
    <t>N:正常, E:异常, L:范围, I:接口</t>
    <phoneticPr fontId="2"/>
  </si>
  <si>
    <t>UT</t>
    <phoneticPr fontId="2"/>
  </si>
  <si>
    <t>TCN</t>
    <phoneticPr fontId="2"/>
  </si>
  <si>
    <t>IV_CL</t>
    <phoneticPr fontId="2"/>
  </si>
  <si>
    <t>审批</t>
    <phoneticPr fontId="2"/>
  </si>
  <si>
    <t>审查</t>
    <phoneticPr fontId="2"/>
  </si>
  <si>
    <r>
      <rPr>
        <sz val="9"/>
        <rFont val="ＭＳ Ｐゴシック"/>
        <family val="2"/>
        <charset val="128"/>
      </rPr>
      <t>ﾌﾟﾛｸﾞﾗﾑﾀｲﾌﾟ</t>
    </r>
    <phoneticPr fontId="2"/>
  </si>
  <si>
    <t>○</t>
    <phoneticPr fontId="8" type="noConversion"/>
  </si>
  <si>
    <t>总计：60</t>
    <phoneticPr fontId="8" type="noConversion"/>
  </si>
  <si>
    <t xml:space="preserve">    15)</t>
  </si>
  <si>
    <t xml:space="preserve">    16)</t>
  </si>
  <si>
    <t xml:space="preserve">    17)</t>
  </si>
  <si>
    <t xml:space="preserve">    18)</t>
  </si>
  <si>
    <t xml:space="preserve">    19)</t>
  </si>
  <si>
    <t xml:space="preserve">    20)</t>
  </si>
  <si>
    <t>○</t>
    <phoneticPr fontId="8" type="noConversion"/>
  </si>
  <si>
    <t xml:space="preserve">    14)</t>
    <phoneticPr fontId="8" type="noConversion"/>
  </si>
  <si>
    <t xml:space="preserve">    1)用户ID</t>
    <phoneticPr fontId="8" type="noConversion"/>
  </si>
  <si>
    <t xml:space="preserve">    12)</t>
    <phoneticPr fontId="8" type="noConversion"/>
  </si>
  <si>
    <t xml:space="preserve">    13)</t>
    <phoneticPr fontId="8" type="noConversion"/>
  </si>
  <si>
    <t>○</t>
  </si>
  <si>
    <t>○ ○</t>
    <phoneticPr fontId="2"/>
  </si>
  <si>
    <t>确认人            REVIEW人</t>
    <phoneticPr fontId="2"/>
  </si>
  <si>
    <t xml:space="preserve">    1)用户ID</t>
    <phoneticPr fontId="8" type="noConversion"/>
  </si>
  <si>
    <t xml:space="preserve">    4)</t>
  </si>
  <si>
    <t xml:space="preserve">    5)</t>
  </si>
  <si>
    <t xml:space="preserve">    6)</t>
  </si>
  <si>
    <t xml:space="preserve">    7)</t>
  </si>
  <si>
    <t xml:space="preserve">    8)</t>
  </si>
  <si>
    <t xml:space="preserve">    9)</t>
  </si>
  <si>
    <t xml:space="preserve">    10)</t>
  </si>
  <si>
    <t xml:space="preserve">    11)</t>
  </si>
  <si>
    <t xml:space="preserve">    2)uuid</t>
    <phoneticPr fontId="8" type="noConversion"/>
  </si>
  <si>
    <t xml:space="preserve">    5)结束时间</t>
    <phoneticPr fontId="8" type="noConversion"/>
  </si>
  <si>
    <t xml:space="preserve">    6)项目ID</t>
    <phoneticPr fontId="8" type="noConversion"/>
  </si>
  <si>
    <t xml:space="preserve">    7)加班小时数</t>
    <phoneticPr fontId="8" type="noConversion"/>
  </si>
  <si>
    <t xml:space="preserve">    8)外出标志</t>
    <phoneticPr fontId="8" type="noConversion"/>
  </si>
  <si>
    <t xml:space="preserve">    9)PJG标志</t>
    <phoneticPr fontId="8" type="noConversion"/>
  </si>
  <si>
    <t xml:space="preserve">    10)明细行数</t>
    <phoneticPr fontId="8" type="noConversion"/>
  </si>
  <si>
    <t xml:space="preserve">    11)</t>
    <phoneticPr fontId="8" type="noConversion"/>
  </si>
  <si>
    <t xml:space="preserve">    2)uuid</t>
    <phoneticPr fontId="8" type="noConversion"/>
  </si>
  <si>
    <t xml:space="preserve">    3)申请的加班信息的主键</t>
    <phoneticPr fontId="8" type="noConversion"/>
  </si>
  <si>
    <t xml:space="preserve">    3)申请的加班日期</t>
    <phoneticPr fontId="8" type="noConversion"/>
  </si>
  <si>
    <t xml:space="preserve">    4)开始时间</t>
    <phoneticPr fontId="8" type="noConversion"/>
  </si>
  <si>
    <t>2-1）加班申请字段（确认下面休假申请提交的字段）</t>
    <phoneticPr fontId="8" type="noConversion"/>
  </si>
  <si>
    <t>2-1-1)申请的加班日期为空</t>
    <phoneticPr fontId="8" type="noConversion"/>
  </si>
  <si>
    <t>2-1-3)开始时间或结束时间为空</t>
    <phoneticPr fontId="8" type="noConversion"/>
  </si>
  <si>
    <t>2-1-5)申请的加班日期格式不为：yyyymmdd</t>
    <phoneticPr fontId="8" type="noConversion"/>
  </si>
  <si>
    <t>2-1-7)开始时间格式不为：hhmm</t>
    <phoneticPr fontId="8" type="noConversion"/>
  </si>
  <si>
    <t>2-1-9)结束时间格式不为：hhmm</t>
    <phoneticPr fontId="8" type="noConversion"/>
  </si>
  <si>
    <t>2-1-19)结束时间-开始时间=起始单位</t>
    <phoneticPr fontId="8" type="noConversion"/>
  </si>
  <si>
    <t>2-1-2)申请的加班日期不为空</t>
    <phoneticPr fontId="8" type="noConversion"/>
  </si>
  <si>
    <t>2-1-4)开始时间和结束时间均不为空</t>
    <phoneticPr fontId="8" type="noConversion"/>
  </si>
  <si>
    <t>2-1-6)申请的加班日期格式为：yyyymmdd</t>
    <phoneticPr fontId="8" type="noConversion"/>
  </si>
  <si>
    <t>2-1-8)开始时间格式为：hhmm</t>
    <phoneticPr fontId="8" type="noConversion"/>
  </si>
  <si>
    <t>2-1-10)结束时间格式为：hhmm</t>
    <phoneticPr fontId="8" type="noConversion"/>
  </si>
  <si>
    <t>2-1-18)结束时间-开始时间&lt;起始单位</t>
    <phoneticPr fontId="8" type="noConversion"/>
  </si>
  <si>
    <t>2-1-20)结束时间-开始时间&gt;起始单位</t>
    <phoneticPr fontId="8" type="noConversion"/>
  </si>
  <si>
    <t>2-2-1)结束时间-开始时间&lt;&gt;最小单位的倍数</t>
    <phoneticPr fontId="8" type="noConversion"/>
  </si>
  <si>
    <t>2-2-3)明细合计行数&gt;1 且 时间重叠</t>
    <phoneticPr fontId="8" type="noConversion"/>
  </si>
  <si>
    <t>2-2-5)明细合计行数&lt;&gt;实际明细行数</t>
    <phoneticPr fontId="8" type="noConversion"/>
  </si>
  <si>
    <t>2-2-7)加班时间和其他工时/加班/休假时间冲突</t>
    <phoneticPr fontId="8" type="noConversion"/>
  </si>
  <si>
    <t>2-2-9)外出标志=1</t>
    <phoneticPr fontId="8" type="noConversion"/>
  </si>
  <si>
    <t>2-2-13)PJG标志为空</t>
    <phoneticPr fontId="8" type="noConversion"/>
  </si>
  <si>
    <t>2-2-15)项目ID不为空 且 项目ID存在</t>
    <phoneticPr fontId="8" type="noConversion"/>
  </si>
  <si>
    <t>2-2-2)结束时间-开始时间=最小单位的倍数</t>
    <phoneticPr fontId="8" type="noConversion"/>
  </si>
  <si>
    <t>2-2-4)明细合计行数&gt;1 且 时间不重叠</t>
    <phoneticPr fontId="8" type="noConversion"/>
  </si>
  <si>
    <t>2-2-6)明细合计行数=实际明细行数</t>
    <phoneticPr fontId="8" type="noConversion"/>
  </si>
  <si>
    <t>2-2-8)加班时间和其他工时/加班/休假时间不冲突</t>
    <phoneticPr fontId="8" type="noConversion"/>
  </si>
  <si>
    <t>2-2-10)外出标志=2 且 加班时间在考勤系统中不存在</t>
    <phoneticPr fontId="8" type="noConversion"/>
  </si>
  <si>
    <t>2-2-12)项目ID为空</t>
    <phoneticPr fontId="8" type="noConversion"/>
  </si>
  <si>
    <t>2-2-14)项目ID不为空 且 项目ID不存在</t>
    <phoneticPr fontId="8" type="noConversion"/>
  </si>
  <si>
    <t>2-3-1)申请的加班信息的主键不存在</t>
    <phoneticPr fontId="8" type="noConversion"/>
  </si>
  <si>
    <t>2-3-3)加班申请已承认</t>
    <phoneticPr fontId="8" type="noConversion"/>
  </si>
  <si>
    <t>2-3-5)加班申请已驳回</t>
    <phoneticPr fontId="8" type="noConversion"/>
  </si>
  <si>
    <t>2-3-7)用户ID存在 且 用户ID与申请的加班信息的主键不匹配</t>
    <phoneticPr fontId="8" type="noConversion"/>
  </si>
  <si>
    <t>2-3-9)</t>
  </si>
  <si>
    <t>2-3-9)</t>
    <phoneticPr fontId="8" type="noConversion"/>
  </si>
  <si>
    <t>2-3-2)加班申请未承认</t>
    <phoneticPr fontId="8" type="noConversion"/>
  </si>
  <si>
    <t>2-3-4)加班申请编号为空</t>
    <phoneticPr fontId="8" type="noConversion"/>
  </si>
  <si>
    <t>2-3-6)加班申请未提交</t>
    <phoneticPr fontId="8" type="noConversion"/>
  </si>
  <si>
    <t>2-3-8)用户ID存在 且 用户ID与申请的加班信息的主键匹配</t>
    <phoneticPr fontId="8" type="noConversion"/>
  </si>
  <si>
    <t>2-3-10)</t>
  </si>
  <si>
    <t>2-3-11)</t>
  </si>
  <si>
    <t>2-3-12)</t>
  </si>
  <si>
    <t>2-3-13)</t>
  </si>
  <si>
    <t>2-3-14)</t>
  </si>
  <si>
    <t>2-3-15)</t>
  </si>
  <si>
    <t>2-3-16)</t>
  </si>
  <si>
    <t>2-3-17)</t>
  </si>
  <si>
    <t>2-3-18)</t>
  </si>
  <si>
    <t>2-3-19)</t>
  </si>
  <si>
    <t>2-3-20)</t>
  </si>
  <si>
    <t>○</t>
    <phoneticPr fontId="8" type="noConversion"/>
  </si>
  <si>
    <t>○</t>
    <phoneticPr fontId="8" type="noConversion"/>
  </si>
  <si>
    <t>2-2-11)外出标志=2 且 加班时间在考勤系统中存在</t>
    <phoneticPr fontId="8" type="noConversion"/>
  </si>
  <si>
    <t>2-2-17)PJG标志与项目ID匹配</t>
    <phoneticPr fontId="8" type="noConversion"/>
  </si>
  <si>
    <t>2-3-2)</t>
    <phoneticPr fontId="8" type="noConversion"/>
  </si>
  <si>
    <t>2-3-3)</t>
  </si>
  <si>
    <t>2-3-4)</t>
  </si>
  <si>
    <t>2-3-5)</t>
  </si>
  <si>
    <t>2-3-6)</t>
  </si>
  <si>
    <t>2-3-7)</t>
  </si>
  <si>
    <t>2-3-8)</t>
  </si>
  <si>
    <t>2-3-1)加班日期不为出勤日 且 加班时间不为出勤日出勤时间</t>
    <phoneticPr fontId="8" type="noConversion"/>
  </si>
  <si>
    <t>2-2-18)加班日期不为出勤日 且 开始时间=结束时间</t>
    <phoneticPr fontId="8" type="noConversion"/>
  </si>
  <si>
    <t>2-2-20)加班日期不为出勤日 且 加班时间为出勤日出勤时间</t>
    <phoneticPr fontId="8" type="noConversion"/>
  </si>
  <si>
    <t>2-1-11)加班日期为出勤日且开始时间&lt;考勤结束时间</t>
    <phoneticPr fontId="8" type="noConversion"/>
  </si>
  <si>
    <t>2-1-13)加班日期为出勤日且开始时间&gt;考勤结束时间</t>
    <phoneticPr fontId="8" type="noConversion"/>
  </si>
  <si>
    <t>2-1-12)加班日期为出勤日且开始时间=考勤结束时间</t>
    <phoneticPr fontId="8" type="noConversion"/>
  </si>
  <si>
    <t>2-1-14)加班日期不为出勤日 且 开始时间&lt;结束时间</t>
    <phoneticPr fontId="8" type="noConversion"/>
  </si>
  <si>
    <t>2-1-15)加班日期为出勤日开始时间&lt;结束时间</t>
    <phoneticPr fontId="8" type="noConversion"/>
  </si>
  <si>
    <t>2-1-16)加班日期为出勤日开始时间=结束时间</t>
    <phoneticPr fontId="8" type="noConversion"/>
  </si>
  <si>
    <t>2-1-17)加班日期为出勤日开始时间&gt;结束时间</t>
    <phoneticPr fontId="8" type="noConversion"/>
  </si>
  <si>
    <t>2-2-16)PJG标志与项目ID不匹配</t>
    <phoneticPr fontId="8" type="noConversion"/>
  </si>
  <si>
    <t>2-2-19)加班日期不为出勤日 且 开始时间&gt;结束时间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</si>
</sst>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Blue]&quot;N&quot;0000;[Red]&quot;E&quot;0000;;[Blue]General"/>
    <numFmt numFmtId="177" formatCode="m/d;@"/>
  </numFmts>
  <fonts count="10">
    <font>
      <sz val="11"/>
      <name val="明朝"/>
      <family val="1"/>
      <charset val="128"/>
    </font>
    <font>
      <sz val="9"/>
      <name val="ＭＳ Ｐゴシック"/>
      <family val="2"/>
      <charset val="128"/>
    </font>
    <font>
      <sz val="6"/>
      <name val="明朝"/>
      <family val="3"/>
      <charset val="128"/>
    </font>
    <font>
      <sz val="9"/>
      <name val="华文细黑"/>
      <family val="3"/>
      <charset val="134"/>
    </font>
    <font>
      <b/>
      <sz val="9"/>
      <name val="华文细黑"/>
      <family val="3"/>
      <charset val="134"/>
    </font>
    <font>
      <sz val="6"/>
      <name val="华文细黑"/>
      <family val="3"/>
      <charset val="134"/>
    </font>
    <font>
      <sz val="48"/>
      <name val="华文细黑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3" fillId="0" borderId="0" xfId="0" applyFont="1" applyProtection="1">
      <protection locked="0"/>
    </xf>
    <xf numFmtId="0" fontId="3" fillId="0" borderId="1" xfId="0" applyFont="1" applyBorder="1" applyAlignment="1" applyProtection="1">
      <alignment horizontal="centerContinuous"/>
      <protection locked="0"/>
    </xf>
    <xf numFmtId="0" fontId="3" fillId="0" borderId="2" xfId="0" applyFont="1" applyBorder="1" applyAlignment="1" applyProtection="1">
      <alignment horizontal="centerContinuous"/>
      <protection locked="0"/>
    </xf>
    <xf numFmtId="0" fontId="3" fillId="0" borderId="3" xfId="0" applyFont="1" applyBorder="1" applyAlignment="1" applyProtection="1">
      <alignment horizontal="centerContinuous"/>
      <protection locked="0"/>
    </xf>
    <xf numFmtId="0" fontId="3" fillId="0" borderId="4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3" fillId="0" borderId="5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0" borderId="6" xfId="0" applyFont="1" applyBorder="1" applyProtection="1">
      <protection locked="0"/>
    </xf>
    <xf numFmtId="0" fontId="3" fillId="0" borderId="7" xfId="0" applyFont="1" applyBorder="1" applyProtection="1">
      <protection locked="0"/>
    </xf>
    <xf numFmtId="0" fontId="3" fillId="0" borderId="8" xfId="0" applyFont="1" applyBorder="1" applyProtection="1">
      <protection locked="0"/>
    </xf>
    <xf numFmtId="0" fontId="3" fillId="0" borderId="9" xfId="0" applyFont="1" applyBorder="1" applyAlignment="1" applyProtection="1">
      <alignment horizontal="centerContinuous" vertical="center"/>
      <protection locked="0"/>
    </xf>
    <xf numFmtId="0" fontId="4" fillId="0" borderId="10" xfId="0" applyFont="1" applyBorder="1" applyAlignment="1" applyProtection="1">
      <alignment horizontal="centerContinuous" vertical="center"/>
      <protection locked="0"/>
    </xf>
    <xf numFmtId="0" fontId="3" fillId="0" borderId="11" xfId="0" applyFont="1" applyBorder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Continuous" vertical="center"/>
      <protection locked="0"/>
    </xf>
    <xf numFmtId="0" fontId="3" fillId="0" borderId="12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9" xfId="0" applyFont="1" applyBorder="1" applyAlignment="1" applyProtection="1">
      <protection locked="0"/>
    </xf>
    <xf numFmtId="0" fontId="3" fillId="0" borderId="11" xfId="0" applyFont="1" applyBorder="1" applyAlignment="1" applyProtection="1">
      <protection locked="0"/>
    </xf>
    <xf numFmtId="0" fontId="3" fillId="0" borderId="12" xfId="0" applyFont="1" applyBorder="1" applyAlignment="1" applyProtection="1">
      <alignment horizontal="right" vertical="top"/>
      <protection locked="0"/>
    </xf>
    <xf numFmtId="176" fontId="5" fillId="0" borderId="39" xfId="0" applyNumberFormat="1" applyFont="1" applyBorder="1" applyAlignment="1" applyProtection="1">
      <alignment horizontal="center" vertical="center" textRotation="90"/>
      <protection locked="0"/>
    </xf>
    <xf numFmtId="176" fontId="5" fillId="0" borderId="40" xfId="0" applyNumberFormat="1" applyFont="1" applyBorder="1" applyAlignment="1" applyProtection="1">
      <alignment horizontal="center" vertical="center" textRotation="90"/>
      <protection locked="0"/>
    </xf>
    <xf numFmtId="176" fontId="5" fillId="0" borderId="41" xfId="0" applyNumberFormat="1" applyFont="1" applyBorder="1" applyAlignment="1" applyProtection="1">
      <alignment horizontal="center" vertical="center" textRotation="90"/>
      <protection locked="0"/>
    </xf>
    <xf numFmtId="0" fontId="3" fillId="0" borderId="15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7" xfId="0" applyNumberFormat="1" applyFont="1" applyBorder="1" applyAlignment="1" applyProtection="1">
      <alignment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vertical="center"/>
      <protection locked="0"/>
    </xf>
    <xf numFmtId="49" fontId="3" fillId="0" borderId="21" xfId="0" applyNumberFormat="1" applyFont="1" applyBorder="1" applyAlignment="1" applyProtection="1">
      <alignment vertical="center"/>
      <protection locked="0"/>
    </xf>
    <xf numFmtId="49" fontId="3" fillId="0" borderId="22" xfId="0" applyNumberFormat="1" applyFont="1" applyBorder="1" applyAlignment="1" applyProtection="1">
      <alignment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vertical="center"/>
      <protection locked="0"/>
    </xf>
    <xf numFmtId="49" fontId="3" fillId="0" borderId="7" xfId="0" applyNumberFormat="1" applyFont="1" applyBorder="1" applyAlignment="1" applyProtection="1">
      <alignment vertical="center"/>
      <protection locked="0"/>
    </xf>
    <xf numFmtId="49" fontId="3" fillId="0" borderId="8" xfId="0" applyNumberFormat="1" applyFont="1" applyBorder="1" applyAlignment="1" applyProtection="1">
      <alignment vertic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  <xf numFmtId="0" fontId="3" fillId="0" borderId="25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Continuous" vertical="center"/>
      <protection locked="0"/>
    </xf>
    <xf numFmtId="0" fontId="3" fillId="0" borderId="27" xfId="0" applyFont="1" applyBorder="1" applyAlignment="1" applyProtection="1">
      <alignment horizontal="centerContinuous" vertical="center"/>
      <protection locked="0"/>
    </xf>
    <xf numFmtId="49" fontId="3" fillId="0" borderId="3" xfId="0" applyNumberFormat="1" applyFont="1" applyBorder="1" applyAlignment="1" applyProtection="1">
      <alignment vertical="center"/>
      <protection locked="0"/>
    </xf>
    <xf numFmtId="0" fontId="3" fillId="0" borderId="28" xfId="0" applyFont="1" applyBorder="1" applyAlignment="1" applyProtection="1">
      <alignment horizontal="center"/>
      <protection locked="0"/>
    </xf>
    <xf numFmtId="0" fontId="3" fillId="0" borderId="29" xfId="0" applyFont="1" applyBorder="1" applyAlignment="1" applyProtection="1">
      <alignment horizontal="center"/>
      <protection locked="0"/>
    </xf>
    <xf numFmtId="0" fontId="3" fillId="0" borderId="30" xfId="0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Continuous" vertical="center"/>
      <protection locked="0"/>
    </xf>
    <xf numFmtId="0" fontId="3" fillId="0" borderId="32" xfId="0" applyFont="1" applyBorder="1" applyAlignment="1" applyProtection="1">
      <alignment horizontal="centerContinuous" vertical="center"/>
      <protection locked="0"/>
    </xf>
    <xf numFmtId="0" fontId="3" fillId="0" borderId="30" xfId="0" applyFont="1" applyBorder="1" applyAlignment="1" applyProtection="1">
      <alignment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3" fillId="0" borderId="43" xfId="0" applyFont="1" applyBorder="1" applyAlignment="1" applyProtection="1">
      <alignment horizontal="center" vertical="center" textRotation="255"/>
    </xf>
    <xf numFmtId="0" fontId="3" fillId="0" borderId="31" xfId="0" applyFont="1" applyBorder="1" applyAlignment="1" applyProtection="1">
      <alignment vertical="center"/>
      <protection locked="0"/>
    </xf>
    <xf numFmtId="0" fontId="3" fillId="0" borderId="32" xfId="0" applyFont="1" applyBorder="1" applyAlignment="1" applyProtection="1">
      <alignment vertical="center"/>
      <protection locked="0"/>
    </xf>
    <xf numFmtId="177" fontId="3" fillId="0" borderId="28" xfId="0" applyNumberFormat="1" applyFont="1" applyBorder="1" applyAlignment="1" applyProtection="1">
      <alignment textRotation="90"/>
      <protection locked="0"/>
    </xf>
    <xf numFmtId="177" fontId="3" fillId="0" borderId="29" xfId="0" applyNumberFormat="1" applyFont="1" applyBorder="1" applyAlignment="1" applyProtection="1">
      <alignment textRotation="90"/>
      <protection locked="0"/>
    </xf>
    <xf numFmtId="0" fontId="3" fillId="0" borderId="29" xfId="0" applyFont="1" applyBorder="1" applyAlignment="1" applyProtection="1">
      <alignment textRotation="90"/>
      <protection locked="0"/>
    </xf>
    <xf numFmtId="0" fontId="3" fillId="0" borderId="30" xfId="0" applyFont="1" applyBorder="1" applyAlignment="1" applyProtection="1">
      <alignment textRotation="90"/>
      <protection locked="0"/>
    </xf>
    <xf numFmtId="0" fontId="3" fillId="0" borderId="6" xfId="0" applyFont="1" applyBorder="1" applyAlignment="1" applyProtection="1">
      <alignment horizontal="centerContinuous" vertical="center"/>
      <protection locked="0"/>
    </xf>
    <xf numFmtId="0" fontId="3" fillId="0" borderId="34" xfId="0" applyFont="1" applyBorder="1" applyAlignment="1" applyProtection="1">
      <alignment horizontal="centerContinuous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3" fillId="0" borderId="25" xfId="0" applyFont="1" applyBorder="1" applyAlignment="1" applyProtection="1">
      <alignment textRotation="90"/>
      <protection locked="0"/>
    </xf>
    <xf numFmtId="0" fontId="3" fillId="0" borderId="26" xfId="0" applyFont="1" applyBorder="1" applyAlignment="1" applyProtection="1">
      <alignment textRotation="90"/>
      <protection locked="0"/>
    </xf>
    <xf numFmtId="0" fontId="3" fillId="0" borderId="8" xfId="0" applyFont="1" applyBorder="1" applyAlignment="1" applyProtection="1">
      <alignment textRotation="90"/>
      <protection locked="0"/>
    </xf>
    <xf numFmtId="0" fontId="3" fillId="0" borderId="15" xfId="0" applyFont="1" applyBorder="1" applyAlignment="1" applyProtection="1">
      <alignment horizontal="centerContinuous" vertical="center"/>
      <protection locked="0"/>
    </xf>
    <xf numFmtId="0" fontId="3" fillId="0" borderId="35" xfId="0" applyFont="1" applyBorder="1" applyAlignment="1" applyProtection="1">
      <alignment horizontal="centerContinuous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3" fillId="0" borderId="36" xfId="0" applyFont="1" applyBorder="1" applyAlignment="1" applyProtection="1">
      <alignment vertical="center" textRotation="255"/>
      <protection locked="0"/>
    </xf>
    <xf numFmtId="0" fontId="3" fillId="0" borderId="37" xfId="0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17" xfId="0" applyFont="1" applyBorder="1" applyProtection="1">
      <protection locked="0"/>
    </xf>
    <xf numFmtId="0" fontId="3" fillId="0" borderId="6" xfId="0" applyFont="1" applyBorder="1" applyAlignment="1" applyProtection="1">
      <alignment vertical="top"/>
      <protection locked="0"/>
    </xf>
    <xf numFmtId="0" fontId="3" fillId="0" borderId="34" xfId="0" applyFont="1" applyBorder="1" applyAlignment="1" applyProtection="1">
      <alignment vertical="top" textRotation="255"/>
      <protection locked="0"/>
    </xf>
    <xf numFmtId="0" fontId="3" fillId="0" borderId="7" xfId="0" applyFont="1" applyBorder="1" applyAlignment="1" applyProtection="1">
      <alignment horizontal="center" vertical="top"/>
      <protection locked="0"/>
    </xf>
    <xf numFmtId="0" fontId="3" fillId="0" borderId="24" xfId="0" applyFont="1" applyBorder="1" applyAlignment="1" applyProtection="1">
      <alignment vertical="top" textRotation="255"/>
      <protection locked="0"/>
    </xf>
    <xf numFmtId="0" fontId="3" fillId="0" borderId="25" xfId="0" applyFont="1" applyBorder="1" applyAlignment="1" applyProtection="1">
      <alignment vertical="top"/>
      <protection locked="0"/>
    </xf>
    <xf numFmtId="0" fontId="3" fillId="0" borderId="26" xfId="0" applyFont="1" applyBorder="1" applyAlignment="1" applyProtection="1">
      <alignment vertical="top"/>
      <protection locked="0"/>
    </xf>
    <xf numFmtId="0" fontId="3" fillId="0" borderId="8" xfId="0" applyFont="1" applyBorder="1" applyAlignment="1" applyProtection="1">
      <alignment vertical="top"/>
      <protection locked="0"/>
    </xf>
    <xf numFmtId="0" fontId="3" fillId="0" borderId="0" xfId="0" applyFont="1" applyAlignment="1" applyProtection="1">
      <alignment vertical="top"/>
      <protection locked="0"/>
    </xf>
    <xf numFmtId="0" fontId="3" fillId="0" borderId="0" xfId="0" applyFont="1" applyBorder="1" applyAlignment="1" applyProtection="1">
      <alignment vertical="top"/>
      <protection locked="0"/>
    </xf>
    <xf numFmtId="0" fontId="3" fillId="0" borderId="0" xfId="0" applyFont="1" applyBorder="1" applyAlignment="1" applyProtection="1">
      <alignment vertical="top" textRotation="255"/>
      <protection locked="0"/>
    </xf>
    <xf numFmtId="0" fontId="3" fillId="0" borderId="0" xfId="0" applyFont="1" applyBorder="1" applyAlignment="1" applyProtection="1">
      <alignment horizontal="center" vertical="top"/>
      <protection locked="0"/>
    </xf>
    <xf numFmtId="0" fontId="3" fillId="0" borderId="0" xfId="0" applyFont="1" applyBorder="1"/>
    <xf numFmtId="0" fontId="3" fillId="2" borderId="0" xfId="0" applyFont="1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3" fillId="0" borderId="0" xfId="0" quotePrefix="1" applyFont="1" applyBorder="1" applyProtection="1"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3" borderId="23" xfId="0" applyFont="1" applyFill="1" applyBorder="1" applyAlignment="1" applyProtection="1">
      <alignment horizontal="center" vertical="center"/>
      <protection locked="0"/>
    </xf>
    <xf numFmtId="0" fontId="3" fillId="3" borderId="48" xfId="0" applyFont="1" applyFill="1" applyBorder="1" applyAlignment="1" applyProtection="1">
      <alignment horizontal="center" vertical="center"/>
      <protection locked="0"/>
    </xf>
    <xf numFmtId="0" fontId="3" fillId="0" borderId="23" xfId="0" applyFont="1" applyBorder="1" applyProtection="1">
      <protection locked="0"/>
    </xf>
    <xf numFmtId="0" fontId="3" fillId="3" borderId="49" xfId="0" applyFont="1" applyFill="1" applyBorder="1" applyAlignment="1" applyProtection="1">
      <alignment horizontal="center" vertical="center"/>
      <protection locked="0"/>
    </xf>
    <xf numFmtId="0" fontId="3" fillId="3" borderId="50" xfId="0" applyFont="1" applyFill="1" applyBorder="1" applyAlignment="1" applyProtection="1">
      <alignment horizontal="center" vertical="center"/>
      <protection locked="0"/>
    </xf>
    <xf numFmtId="0" fontId="3" fillId="0" borderId="50" xfId="0" applyFont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44" xfId="0" applyFont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center" vertical="center"/>
      <protection locked="0"/>
    </xf>
    <xf numFmtId="0" fontId="3" fillId="0" borderId="46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36" xfId="0" applyFont="1" applyBorder="1" applyAlignment="1" applyProtection="1">
      <alignment horizontal="center" vertical="center" textRotation="255"/>
      <protection locked="0"/>
    </xf>
    <xf numFmtId="0" fontId="3" fillId="0" borderId="14" xfId="0" applyFont="1" applyBorder="1" applyAlignment="1" applyProtection="1">
      <alignment horizontal="center" vertical="center" textRotation="255"/>
      <protection locked="0"/>
    </xf>
    <xf numFmtId="0" fontId="3" fillId="0" borderId="24" xfId="0" applyFont="1" applyBorder="1" applyAlignment="1" applyProtection="1">
      <alignment horizontal="center" vertical="center" textRotation="255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58049" name="Button 1" hidden="1">
              <a:extLst>
                <a:ext uri="{63B3BB69-23CF-44E3-9099-C40C66FF867C}">
                  <a14:compatExt spid="_x0000_s258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58050" name="Button 2" hidden="1">
              <a:extLst>
                <a:ext uri="{63B3BB69-23CF-44E3-9099-C40C66FF867C}">
                  <a14:compatExt spid="_x0000_s258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58051" name="Button 3" hidden="1">
              <a:extLst>
                <a:ext uri="{63B3BB69-23CF-44E3-9099-C40C66FF867C}">
                  <a14:compatExt spid="_x0000_s258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58052" name="Button 4" hidden="1">
              <a:extLst>
                <a:ext uri="{63B3BB69-23CF-44E3-9099-C40C66FF867C}">
                  <a14:compatExt spid="_x0000_s258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58053" name="Button 5" hidden="1">
              <a:extLst>
                <a:ext uri="{63B3BB69-23CF-44E3-9099-C40C66FF867C}">
                  <a14:compatExt spid="_x0000_s258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58054" name="Button 6" hidden="1">
              <a:extLst>
                <a:ext uri="{63B3BB69-23CF-44E3-9099-C40C66FF867C}">
                  <a14:compatExt spid="_x0000_s258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58055" name="Button 7" hidden="1">
              <a:extLst>
                <a:ext uri="{63B3BB69-23CF-44E3-9099-C40C66FF867C}">
                  <a14:compatExt spid="_x0000_s258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60098" name="Button 2" hidden="1">
              <a:extLst>
                <a:ext uri="{63B3BB69-23CF-44E3-9099-C40C66FF867C}">
                  <a14:compatExt spid="_x0000_s260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60099" name="Button 3" hidden="1">
              <a:extLst>
                <a:ext uri="{63B3BB69-23CF-44E3-9099-C40C66FF867C}">
                  <a14:compatExt spid="_x0000_s260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60100" name="Button 4" hidden="1">
              <a:extLst>
                <a:ext uri="{63B3BB69-23CF-44E3-9099-C40C66FF867C}">
                  <a14:compatExt spid="_x0000_s260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60101" name="Button 5" hidden="1">
              <a:extLst>
                <a:ext uri="{63B3BB69-23CF-44E3-9099-C40C66FF867C}">
                  <a14:compatExt spid="_x0000_s260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60102" name="Button 6" hidden="1">
              <a:extLst>
                <a:ext uri="{63B3BB69-23CF-44E3-9099-C40C66FF867C}">
                  <a14:compatExt spid="_x0000_s260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60103" name="Button 7" hidden="1">
              <a:extLst>
                <a:ext uri="{63B3BB69-23CF-44E3-9099-C40C66FF867C}">
                  <a14:compatExt spid="_x0000_s260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62145" name="Button 1" hidden="1">
              <a:extLst>
                <a:ext uri="{63B3BB69-23CF-44E3-9099-C40C66FF867C}">
                  <a14:compatExt spid="_x0000_s262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62146" name="Button 2" hidden="1">
              <a:extLst>
                <a:ext uri="{63B3BB69-23CF-44E3-9099-C40C66FF867C}">
                  <a14:compatExt spid="_x0000_s262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62147" name="Button 3" hidden="1">
              <a:extLst>
                <a:ext uri="{63B3BB69-23CF-44E3-9099-C40C66FF867C}">
                  <a14:compatExt spid="_x0000_s262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62148" name="Button 4" hidden="1">
              <a:extLst>
                <a:ext uri="{63B3BB69-23CF-44E3-9099-C40C66FF867C}">
                  <a14:compatExt spid="_x0000_s262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62149" name="Button 5" hidden="1">
              <a:extLst>
                <a:ext uri="{63B3BB69-23CF-44E3-9099-C40C66FF867C}">
                  <a14:compatExt spid="_x0000_s262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62150" name="Button 6" hidden="1">
              <a:extLst>
                <a:ext uri="{63B3BB69-23CF-44E3-9099-C40C66FF867C}">
                  <a14:compatExt spid="_x0000_s262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62151" name="Button 7" hidden="1">
              <a:extLst>
                <a:ext uri="{63B3BB69-23CF-44E3-9099-C40C66FF867C}">
                  <a14:compatExt spid="_x0000_s262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61121" name="Button 1" hidden="1">
              <a:extLst>
                <a:ext uri="{63B3BB69-23CF-44E3-9099-C40C66FF867C}">
                  <a14:compatExt spid="_x0000_s261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61122" name="Button 2" hidden="1">
              <a:extLst>
                <a:ext uri="{63B3BB69-23CF-44E3-9099-C40C66FF867C}">
                  <a14:compatExt spid="_x0000_s261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61123" name="Button 3" hidden="1">
              <a:extLst>
                <a:ext uri="{63B3BB69-23CF-44E3-9099-C40C66FF867C}">
                  <a14:compatExt spid="_x0000_s261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61124" name="Button 4" hidden="1">
              <a:extLst>
                <a:ext uri="{63B3BB69-23CF-44E3-9099-C40C66FF867C}">
                  <a14:compatExt spid="_x0000_s26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61125" name="Button 5" hidden="1">
              <a:extLst>
                <a:ext uri="{63B3BB69-23CF-44E3-9099-C40C66FF867C}">
                  <a14:compatExt spid="_x0000_s26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61126" name="Button 6" hidden="1">
              <a:extLst>
                <a:ext uri="{63B3BB69-23CF-44E3-9099-C40C66FF867C}">
                  <a14:compatExt spid="_x0000_s26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61127" name="Button 7" hidden="1">
              <a:extLst>
                <a:ext uri="{63B3BB69-23CF-44E3-9099-C40C66FF867C}">
                  <a14:compatExt spid="_x0000_s26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AA75"/>
  <sheetViews>
    <sheetView showGridLines="0" view="pageBreakPreview" topLeftCell="A34" zoomScale="130" zoomScaleNormal="130" zoomScaleSheetLayoutView="130" workbookViewId="0">
      <selection activeCell="D13" sqref="D13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9"/>
      <c r="V2" s="100"/>
      <c r="W2" s="100"/>
      <c r="X2" s="101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2"/>
      <c r="V3" s="103"/>
      <c r="W3" s="103"/>
      <c r="X3" s="104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2"/>
      <c r="V4" s="103"/>
      <c r="W4" s="103"/>
      <c r="X4" s="104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5"/>
      <c r="V5" s="106"/>
      <c r="W5" s="106"/>
      <c r="X5" s="107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>TCN000UTN0001</v>
      </c>
      <c r="F7" s="23" t="str">
        <f t="shared" ref="F7:X7" si="0">IF(F53="","",$C$62 &amp; $C$61 &amp; $C$60 &amp; F53 &amp; TEXT(F59,"0000" ))</f>
        <v>TCN000UTN0002</v>
      </c>
      <c r="G7" s="23" t="str">
        <f t="shared" si="0"/>
        <v>TCN000UTN0003</v>
      </c>
      <c r="H7" s="23" t="str">
        <f t="shared" si="0"/>
        <v>TCN000UTN0004</v>
      </c>
      <c r="I7" s="23" t="str">
        <f t="shared" si="0"/>
        <v>TCN000UTN0005</v>
      </c>
      <c r="J7" s="23" t="str">
        <f t="shared" si="0"/>
        <v>TCN000UTN0006</v>
      </c>
      <c r="K7" s="23" t="str">
        <f t="shared" si="0"/>
        <v>TCN000UTN0007</v>
      </c>
      <c r="L7" s="23" t="str">
        <f t="shared" si="0"/>
        <v>TCN000UTN0008</v>
      </c>
      <c r="M7" s="23" t="str">
        <f t="shared" si="0"/>
        <v>TCN000UTN0009</v>
      </c>
      <c r="N7" s="23" t="str">
        <f t="shared" si="0"/>
        <v>TCN000UTN0010</v>
      </c>
      <c r="O7" s="23" t="str">
        <f t="shared" si="0"/>
        <v>TCN000UTN0011</v>
      </c>
      <c r="P7" s="23" t="str">
        <f t="shared" si="0"/>
        <v>TCN000UTN0012</v>
      </c>
      <c r="Q7" s="23" t="str">
        <f t="shared" si="0"/>
        <v>TCN000UTN0013</v>
      </c>
      <c r="R7" s="23" t="str">
        <f t="shared" si="0"/>
        <v/>
      </c>
      <c r="S7" s="23" t="str">
        <f t="shared" si="0"/>
        <v>TCN000UTN0014</v>
      </c>
      <c r="T7" s="23" t="str">
        <f t="shared" si="0"/>
        <v>TCN000UTN0015</v>
      </c>
      <c r="U7" s="23" t="str">
        <f t="shared" si="0"/>
        <v>TCN000UTN0016</v>
      </c>
      <c r="V7" s="23" t="str">
        <f t="shared" si="0"/>
        <v>TCN000UTN0017</v>
      </c>
      <c r="W7" s="23" t="str">
        <f t="shared" si="0"/>
        <v>TCN000UTN0018</v>
      </c>
      <c r="X7" s="24" t="str">
        <f t="shared" si="0"/>
        <v>TCN000UTN0019</v>
      </c>
    </row>
    <row r="8" spans="1:27" s="6" customFormat="1" ht="11.25" customHeight="1">
      <c r="A8" s="108" t="s">
        <v>23</v>
      </c>
      <c r="B8" s="25" t="s">
        <v>79</v>
      </c>
      <c r="C8" s="26"/>
      <c r="D8" s="27"/>
      <c r="E8" s="28" t="s">
        <v>128</v>
      </c>
      <c r="F8" s="29" t="s">
        <v>42</v>
      </c>
      <c r="G8" s="29" t="s">
        <v>128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50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9"/>
      <c r="B9" s="30" t="s">
        <v>52</v>
      </c>
      <c r="C9" s="31"/>
      <c r="D9" s="32"/>
      <c r="E9" s="88"/>
      <c r="F9" s="88"/>
      <c r="G9" s="33"/>
      <c r="H9" s="88"/>
      <c r="I9" s="88"/>
      <c r="J9" s="33"/>
      <c r="K9" s="88"/>
      <c r="L9" s="33"/>
      <c r="M9" s="33"/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9"/>
      <c r="B10" s="30" t="s">
        <v>67</v>
      </c>
      <c r="C10" s="31"/>
      <c r="D10" s="32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9"/>
      <c r="B11" s="30" t="s">
        <v>77</v>
      </c>
      <c r="C11" s="31"/>
      <c r="D11" s="32"/>
      <c r="E11" s="88" t="s">
        <v>129</v>
      </c>
      <c r="F11" s="88" t="s">
        <v>129</v>
      </c>
      <c r="G11" s="33"/>
      <c r="H11" s="88"/>
      <c r="I11" s="88" t="s">
        <v>129</v>
      </c>
      <c r="J11" s="88" t="s">
        <v>129</v>
      </c>
      <c r="K11" s="88"/>
      <c r="L11" s="88"/>
      <c r="M11" s="88"/>
      <c r="N11" s="88"/>
      <c r="O11" s="88" t="s">
        <v>129</v>
      </c>
      <c r="P11" s="88" t="s">
        <v>129</v>
      </c>
      <c r="Q11" s="88" t="s">
        <v>129</v>
      </c>
      <c r="R11" s="88" t="s">
        <v>129</v>
      </c>
      <c r="S11" s="88" t="s">
        <v>129</v>
      </c>
      <c r="T11" s="88" t="s">
        <v>129</v>
      </c>
      <c r="U11" s="88" t="s">
        <v>129</v>
      </c>
      <c r="V11" s="33"/>
      <c r="W11" s="33"/>
      <c r="X11" s="34"/>
    </row>
    <row r="12" spans="1:27" ht="11.25" customHeight="1">
      <c r="A12" s="109"/>
      <c r="B12" s="30" t="s">
        <v>78</v>
      </c>
      <c r="C12" s="31"/>
      <c r="D12" s="32"/>
      <c r="E12" s="88"/>
      <c r="F12" s="88"/>
      <c r="G12" s="88" t="s">
        <v>129</v>
      </c>
      <c r="H12" s="88" t="s">
        <v>129</v>
      </c>
      <c r="I12" s="88"/>
      <c r="J12" s="88"/>
      <c r="K12" s="88" t="s">
        <v>129</v>
      </c>
      <c r="L12" s="88" t="s">
        <v>129</v>
      </c>
      <c r="M12" s="88" t="s">
        <v>129</v>
      </c>
      <c r="N12" s="88" t="s">
        <v>129</v>
      </c>
      <c r="O12" s="88" t="s">
        <v>129</v>
      </c>
      <c r="P12" s="88" t="s">
        <v>129</v>
      </c>
      <c r="Q12" s="88" t="s">
        <v>129</v>
      </c>
      <c r="R12" s="88" t="s">
        <v>129</v>
      </c>
      <c r="S12" s="88" t="s">
        <v>129</v>
      </c>
      <c r="T12" s="88" t="s">
        <v>129</v>
      </c>
      <c r="U12" s="88" t="s">
        <v>129</v>
      </c>
      <c r="V12" s="88" t="s">
        <v>129</v>
      </c>
      <c r="W12" s="88" t="s">
        <v>129</v>
      </c>
      <c r="X12" s="88" t="s">
        <v>129</v>
      </c>
    </row>
    <row r="13" spans="1:27" ht="11.25" customHeight="1">
      <c r="A13" s="109"/>
      <c r="B13" s="30" t="s">
        <v>68</v>
      </c>
      <c r="C13" s="31"/>
      <c r="D13" s="32"/>
      <c r="E13" s="89"/>
      <c r="F13" s="88"/>
      <c r="G13" s="88" t="s">
        <v>129</v>
      </c>
      <c r="H13" s="88" t="s">
        <v>129</v>
      </c>
      <c r="I13" s="88"/>
      <c r="J13" s="88"/>
      <c r="K13" s="88" t="s">
        <v>129</v>
      </c>
      <c r="L13" s="88" t="s">
        <v>129</v>
      </c>
      <c r="M13" s="88" t="s">
        <v>129</v>
      </c>
      <c r="N13" s="88" t="s">
        <v>129</v>
      </c>
      <c r="O13" s="88" t="s">
        <v>129</v>
      </c>
      <c r="P13" s="88" t="s">
        <v>129</v>
      </c>
      <c r="Q13" s="88" t="s">
        <v>129</v>
      </c>
      <c r="R13" s="88" t="s">
        <v>129</v>
      </c>
      <c r="S13" s="88" t="s">
        <v>129</v>
      </c>
      <c r="T13" s="88" t="s">
        <v>129</v>
      </c>
      <c r="U13" s="88" t="s">
        <v>129</v>
      </c>
      <c r="V13" s="88" t="s">
        <v>129</v>
      </c>
      <c r="W13" s="88" t="s">
        <v>129</v>
      </c>
      <c r="X13" s="88" t="s">
        <v>129</v>
      </c>
    </row>
    <row r="14" spans="1:27" ht="11.25" customHeight="1">
      <c r="A14" s="109"/>
      <c r="B14" s="30" t="s">
        <v>69</v>
      </c>
      <c r="C14" s="31"/>
      <c r="D14" s="32"/>
      <c r="E14" s="88"/>
      <c r="F14" s="88"/>
      <c r="G14" s="33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33"/>
      <c r="U14" s="88"/>
      <c r="V14" s="88"/>
      <c r="W14" s="88"/>
      <c r="X14" s="88"/>
    </row>
    <row r="15" spans="1:27" ht="11.25" customHeight="1">
      <c r="A15" s="109"/>
      <c r="B15" s="30" t="s">
        <v>70</v>
      </c>
      <c r="C15" s="31"/>
      <c r="D15" s="32"/>
      <c r="E15" s="88"/>
      <c r="F15" s="88"/>
      <c r="G15" s="33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33"/>
      <c r="T15" s="88"/>
      <c r="U15" s="88"/>
      <c r="V15" s="88"/>
      <c r="W15" s="88"/>
      <c r="X15" s="88"/>
    </row>
    <row r="16" spans="1:27" ht="11.25" customHeight="1">
      <c r="A16" s="109"/>
      <c r="B16" s="30" t="s">
        <v>71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33"/>
      <c r="S16" s="88"/>
      <c r="T16" s="88"/>
      <c r="U16" s="88"/>
      <c r="V16" s="33"/>
      <c r="W16" s="33"/>
      <c r="X16" s="34"/>
    </row>
    <row r="17" spans="1:24" ht="11.25" customHeight="1">
      <c r="A17" s="109"/>
      <c r="B17" s="30" t="s">
        <v>72</v>
      </c>
      <c r="C17" s="31"/>
      <c r="D17" s="32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33"/>
      <c r="T17" s="88"/>
      <c r="U17" s="88"/>
      <c r="V17" s="33"/>
      <c r="W17" s="33"/>
      <c r="X17" s="34"/>
    </row>
    <row r="18" spans="1:24" ht="11.25" customHeight="1">
      <c r="A18" s="109"/>
      <c r="B18" s="30" t="s">
        <v>73</v>
      </c>
      <c r="C18" s="31"/>
      <c r="D18" s="32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33"/>
      <c r="R18" s="88"/>
      <c r="S18" s="88"/>
      <c r="T18" s="88"/>
      <c r="U18" s="33"/>
      <c r="V18" s="33"/>
      <c r="W18" s="33"/>
      <c r="X18" s="34"/>
    </row>
    <row r="19" spans="1:24" ht="11.25" customHeight="1">
      <c r="A19" s="109"/>
      <c r="B19" s="30" t="s">
        <v>74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88"/>
      <c r="P19" s="88"/>
      <c r="Q19" s="33"/>
      <c r="R19" s="33"/>
      <c r="S19" s="88"/>
      <c r="T19" s="88"/>
      <c r="U19" s="33"/>
      <c r="V19" s="33"/>
      <c r="W19" s="33"/>
      <c r="X19" s="34"/>
    </row>
    <row r="20" spans="1:24" ht="11.25" customHeight="1">
      <c r="A20" s="109"/>
      <c r="B20" s="30" t="s">
        <v>53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9"/>
      <c r="B21" s="30" t="s">
        <v>54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9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9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9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9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9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9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9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9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10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8" t="s">
        <v>24</v>
      </c>
      <c r="B31" s="25" t="s">
        <v>80</v>
      </c>
      <c r="C31" s="26"/>
      <c r="D31" s="27"/>
      <c r="E31" s="88" t="s">
        <v>129</v>
      </c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9"/>
      <c r="B32" s="30" t="s">
        <v>86</v>
      </c>
      <c r="C32" s="31"/>
      <c r="D32" s="32"/>
      <c r="E32" s="89"/>
      <c r="F32" s="88" t="s">
        <v>129</v>
      </c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9"/>
      <c r="B33" s="30" t="s">
        <v>81</v>
      </c>
      <c r="C33" s="31"/>
      <c r="D33" s="32"/>
      <c r="E33" s="89"/>
      <c r="F33" s="88"/>
      <c r="G33" s="88" t="s">
        <v>55</v>
      </c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9"/>
      <c r="B34" s="30" t="s">
        <v>87</v>
      </c>
      <c r="C34" s="31"/>
      <c r="D34" s="32"/>
      <c r="E34" s="89"/>
      <c r="F34" s="88"/>
      <c r="G34" s="88"/>
      <c r="H34" s="88" t="s">
        <v>55</v>
      </c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9"/>
      <c r="B35" s="30" t="s">
        <v>82</v>
      </c>
      <c r="C35" s="31"/>
      <c r="D35" s="32"/>
      <c r="E35" s="89"/>
      <c r="F35" s="88"/>
      <c r="G35" s="88"/>
      <c r="H35" s="88"/>
      <c r="I35" s="88" t="s">
        <v>55</v>
      </c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9"/>
      <c r="B36" s="30" t="s">
        <v>88</v>
      </c>
      <c r="C36" s="31"/>
      <c r="D36" s="32"/>
      <c r="E36" s="89"/>
      <c r="F36" s="88"/>
      <c r="G36" s="88"/>
      <c r="H36" s="88"/>
      <c r="I36" s="88"/>
      <c r="J36" s="88" t="s">
        <v>55</v>
      </c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9"/>
      <c r="B37" s="30" t="s">
        <v>83</v>
      </c>
      <c r="C37" s="31"/>
      <c r="D37" s="32"/>
      <c r="E37" s="89"/>
      <c r="F37" s="88"/>
      <c r="G37" s="88"/>
      <c r="H37" s="88"/>
      <c r="I37" s="88"/>
      <c r="J37" s="33"/>
      <c r="K37" s="88" t="s">
        <v>55</v>
      </c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9"/>
      <c r="B38" s="30" t="s">
        <v>89</v>
      </c>
      <c r="C38" s="31"/>
      <c r="D38" s="32"/>
      <c r="E38" s="89"/>
      <c r="F38" s="88"/>
      <c r="G38" s="88"/>
      <c r="H38" s="88"/>
      <c r="I38" s="88"/>
      <c r="J38" s="33"/>
      <c r="K38" s="33"/>
      <c r="L38" s="88" t="s">
        <v>55</v>
      </c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9"/>
      <c r="B39" s="30" t="s">
        <v>84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 t="s">
        <v>55</v>
      </c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9"/>
      <c r="B40" s="30" t="s">
        <v>90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 t="s">
        <v>55</v>
      </c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9"/>
      <c r="B41" s="30" t="s">
        <v>142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 t="s">
        <v>55</v>
      </c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9"/>
      <c r="B42" s="30" t="s">
        <v>144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 t="s">
        <v>55</v>
      </c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9"/>
      <c r="B43" s="30" t="s">
        <v>143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 t="s">
        <v>55</v>
      </c>
      <c r="R43" s="33"/>
      <c r="S43" s="33"/>
      <c r="T43" s="33"/>
      <c r="U43" s="33"/>
      <c r="V43" s="33"/>
      <c r="W43" s="33"/>
      <c r="X43" s="34"/>
    </row>
    <row r="44" spans="1:24" ht="11.25" customHeight="1">
      <c r="A44" s="109"/>
      <c r="B44" s="30" t="s">
        <v>145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/>
      <c r="S44" s="33"/>
      <c r="T44" s="33"/>
      <c r="U44" s="33"/>
      <c r="V44" s="33"/>
      <c r="W44" s="33"/>
      <c r="X44" s="34"/>
    </row>
    <row r="45" spans="1:24" ht="11.25" customHeight="1">
      <c r="A45" s="109"/>
      <c r="B45" s="30" t="s">
        <v>146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 t="s">
        <v>55</v>
      </c>
      <c r="T45" s="88"/>
      <c r="U45" s="88"/>
      <c r="V45" s="33"/>
      <c r="W45" s="33"/>
      <c r="X45" s="33"/>
    </row>
    <row r="46" spans="1:24" ht="11.25" customHeight="1">
      <c r="A46" s="109"/>
      <c r="B46" s="30" t="s">
        <v>147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 t="s">
        <v>55</v>
      </c>
      <c r="U46" s="88"/>
      <c r="V46" s="33"/>
      <c r="W46" s="33"/>
      <c r="X46" s="33"/>
    </row>
    <row r="47" spans="1:24" ht="11.25" customHeight="1">
      <c r="A47" s="109"/>
      <c r="B47" s="30" t="s">
        <v>148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 t="s">
        <v>55</v>
      </c>
      <c r="V47" s="33"/>
      <c r="W47" s="33"/>
      <c r="X47" s="33"/>
    </row>
    <row r="48" spans="1:24" ht="11.25" customHeight="1">
      <c r="A48" s="109"/>
      <c r="B48" s="30" t="s">
        <v>91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 t="s">
        <v>55</v>
      </c>
      <c r="W48" s="33"/>
      <c r="X48" s="33"/>
    </row>
    <row r="49" spans="1:24" ht="11.25" customHeight="1">
      <c r="A49" s="109"/>
      <c r="B49" s="30" t="s">
        <v>85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 t="s">
        <v>55</v>
      </c>
      <c r="X49" s="33"/>
    </row>
    <row r="50" spans="1:24" ht="11.25" customHeight="1">
      <c r="A50" s="109"/>
      <c r="B50" s="30" t="s">
        <v>92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 t="s">
        <v>55</v>
      </c>
    </row>
    <row r="51" spans="1:24" ht="11.25" customHeight="1" thickBot="1">
      <c r="A51" s="110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5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>N</v>
      </c>
      <c r="F53" s="50" t="str">
        <f t="shared" si="1"/>
        <v>N</v>
      </c>
      <c r="G53" s="50" t="str">
        <f t="shared" si="1"/>
        <v>N</v>
      </c>
      <c r="H53" s="50" t="str">
        <f t="shared" si="1"/>
        <v>N</v>
      </c>
      <c r="I53" s="50" t="str">
        <f t="shared" si="1"/>
        <v>N</v>
      </c>
      <c r="J53" s="50" t="str">
        <f t="shared" si="1"/>
        <v>N</v>
      </c>
      <c r="K53" s="50" t="str">
        <f t="shared" si="1"/>
        <v>N</v>
      </c>
      <c r="L53" s="50" t="str">
        <f t="shared" si="1"/>
        <v>N</v>
      </c>
      <c r="M53" s="50" t="str">
        <f t="shared" si="1"/>
        <v>N</v>
      </c>
      <c r="N53" s="50" t="str">
        <f t="shared" si="1"/>
        <v>N</v>
      </c>
      <c r="O53" s="50" t="str">
        <f t="shared" si="1"/>
        <v>N</v>
      </c>
      <c r="P53" s="50" t="str">
        <f t="shared" si="1"/>
        <v>N</v>
      </c>
      <c r="Q53" s="50" t="str">
        <f t="shared" si="1"/>
        <v>N</v>
      </c>
      <c r="R53" s="50" t="str">
        <f t="shared" si="1"/>
        <v/>
      </c>
      <c r="S53" s="50" t="str">
        <f t="shared" si="1"/>
        <v>N</v>
      </c>
      <c r="T53" s="50" t="str">
        <f t="shared" si="1"/>
        <v>N</v>
      </c>
      <c r="U53" s="50" t="str">
        <f t="shared" si="1"/>
        <v>N</v>
      </c>
      <c r="V53" s="50" t="str">
        <f t="shared" si="1"/>
        <v>N</v>
      </c>
      <c r="W53" s="50" t="str">
        <f t="shared" si="1"/>
        <v>N</v>
      </c>
      <c r="X53" s="50" t="str">
        <f t="shared" si="1"/>
        <v>N</v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56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57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1</v>
      </c>
      <c r="F59" s="83">
        <f>IF(F53="",0,MAX($E59:E59)+1)</f>
        <v>2</v>
      </c>
      <c r="G59" s="83">
        <f>IF(G53="",0,MAX($E59:F59)+1)</f>
        <v>3</v>
      </c>
      <c r="H59" s="83">
        <f>IF(H53="",0,MAX($E59:G59)+1)</f>
        <v>4</v>
      </c>
      <c r="I59" s="83">
        <f>IF(I53="",0,MAX($E59:H59)+1)</f>
        <v>5</v>
      </c>
      <c r="J59" s="83">
        <f>IF(J53="",0,MAX($E59:I59)+1)</f>
        <v>6</v>
      </c>
      <c r="K59" s="83">
        <f>IF(K53="",0,MAX($E59:J59)+1)</f>
        <v>7</v>
      </c>
      <c r="L59" s="83">
        <f>IF(L53="",0,MAX($E59:K59)+1)</f>
        <v>8</v>
      </c>
      <c r="M59" s="83">
        <f>IF(M53="",0,MAX($E59:L59)+1)</f>
        <v>9</v>
      </c>
      <c r="N59" s="83">
        <f>IF(N53="",0,MAX($E59:M59)+1)</f>
        <v>10</v>
      </c>
      <c r="O59" s="83">
        <f>IF(O53="",0,MAX($E59:N59)+1)</f>
        <v>11</v>
      </c>
      <c r="P59" s="83">
        <f>IF(P53="",0,MAX($E59:O59)+1)</f>
        <v>12</v>
      </c>
      <c r="Q59" s="83">
        <f>IF(Q53="",0,MAX($E59:P59)+1)</f>
        <v>13</v>
      </c>
      <c r="R59" s="83">
        <f>IF(R53="",0,MAX($E59:Q59)+1)</f>
        <v>0</v>
      </c>
      <c r="S59" s="83">
        <f>IF(S53="",0,MAX($E59:R59)+1)</f>
        <v>14</v>
      </c>
      <c r="T59" s="83">
        <f>IF(T53="",0,MAX($E59:S59)+1)</f>
        <v>15</v>
      </c>
      <c r="U59" s="83">
        <f>IF(U53="",0,MAX($E59:T59)+1)</f>
        <v>16</v>
      </c>
      <c r="V59" s="83">
        <f>IF(V53="",0,MAX($E59:U59)+1)</f>
        <v>17</v>
      </c>
      <c r="W59" s="83">
        <f>IF(W53="",0,MAX($E59:V59)+1)</f>
        <v>18</v>
      </c>
      <c r="X59" s="83">
        <f>IF(X53="",0,MAX($E59:W59)+1)</f>
        <v>19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>N</v>
      </c>
      <c r="F60" s="83" t="str">
        <f t="shared" si="2"/>
        <v>N</v>
      </c>
      <c r="G60" s="83" t="str">
        <f t="shared" si="2"/>
        <v>N</v>
      </c>
      <c r="H60" s="83" t="str">
        <f t="shared" si="2"/>
        <v>N</v>
      </c>
      <c r="I60" s="83" t="str">
        <f t="shared" si="2"/>
        <v>N</v>
      </c>
      <c r="J60" s="83" t="str">
        <f t="shared" si="2"/>
        <v>N</v>
      </c>
      <c r="K60" s="83" t="str">
        <f t="shared" si="2"/>
        <v>N</v>
      </c>
      <c r="L60" s="83" t="str">
        <f t="shared" si="2"/>
        <v>N</v>
      </c>
      <c r="M60" s="83" t="str">
        <f t="shared" si="2"/>
        <v>N</v>
      </c>
      <c r="N60" s="83" t="str">
        <f t="shared" si="2"/>
        <v>N</v>
      </c>
      <c r="O60" s="83" t="str">
        <f t="shared" si="2"/>
        <v>N</v>
      </c>
      <c r="P60" s="83" t="str">
        <f t="shared" si="2"/>
        <v>N</v>
      </c>
      <c r="Q60" s="83" t="str">
        <f t="shared" si="2"/>
        <v>N</v>
      </c>
      <c r="R60" s="83" t="str">
        <f t="shared" si="2"/>
        <v/>
      </c>
      <c r="S60" s="83" t="str">
        <f t="shared" si="2"/>
        <v>N</v>
      </c>
      <c r="T60" s="83" t="str">
        <f t="shared" si="2"/>
        <v>N</v>
      </c>
      <c r="U60" s="83" t="str">
        <f t="shared" si="2"/>
        <v>N</v>
      </c>
      <c r="V60" s="83" t="str">
        <f t="shared" si="2"/>
        <v>N</v>
      </c>
      <c r="W60" s="83" t="str">
        <f t="shared" si="2"/>
        <v>N</v>
      </c>
      <c r="X60" s="83" t="str">
        <f t="shared" si="2"/>
        <v>N</v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19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049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0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1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2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3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4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5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AA75"/>
  <sheetViews>
    <sheetView showGridLines="0" view="pageBreakPreview" topLeftCell="A31" zoomScale="130" zoomScaleNormal="130" zoomScaleSheetLayoutView="130" workbookViewId="0">
      <selection activeCell="B53" sqref="B53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9"/>
      <c r="V2" s="100"/>
      <c r="W2" s="100"/>
      <c r="X2" s="101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2"/>
      <c r="V3" s="103"/>
      <c r="W3" s="103"/>
      <c r="X3" s="104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2"/>
      <c r="V4" s="103"/>
      <c r="W4" s="103"/>
      <c r="X4" s="104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5"/>
      <c r="V5" s="106"/>
      <c r="W5" s="106"/>
      <c r="X5" s="107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>TCN000UTN0001</v>
      </c>
      <c r="F7" s="23" t="str">
        <f t="shared" ref="F7:X7" si="0">IF(F53="","",$C$62 &amp; $C$61 &amp; $C$60 &amp; F53 &amp; TEXT(F59,"0000" ))</f>
        <v>TCN000UTN0002</v>
      </c>
      <c r="G7" s="23" t="str">
        <f t="shared" si="0"/>
        <v>TCN000UTN0003</v>
      </c>
      <c r="H7" s="23" t="str">
        <f t="shared" si="0"/>
        <v>TCN000UTN0004</v>
      </c>
      <c r="I7" s="23" t="str">
        <f t="shared" si="0"/>
        <v>TCN000UTN0005</v>
      </c>
      <c r="J7" s="23" t="str">
        <f t="shared" si="0"/>
        <v>TCN000UTN0006</v>
      </c>
      <c r="K7" s="23" t="str">
        <f t="shared" si="0"/>
        <v>TCN000UTN0007</v>
      </c>
      <c r="L7" s="23" t="str">
        <f t="shared" si="0"/>
        <v>TCN000UTN0008</v>
      </c>
      <c r="M7" s="23" t="str">
        <f t="shared" si="0"/>
        <v>TCN000UTN0009</v>
      </c>
      <c r="N7" s="23" t="str">
        <f t="shared" si="0"/>
        <v>TCN000UTN0010</v>
      </c>
      <c r="O7" s="23" t="str">
        <f t="shared" si="0"/>
        <v/>
      </c>
      <c r="P7" s="23" t="str">
        <f t="shared" si="0"/>
        <v/>
      </c>
      <c r="Q7" s="23" t="str">
        <f t="shared" si="0"/>
        <v/>
      </c>
      <c r="R7" s="23" t="str">
        <f t="shared" si="0"/>
        <v/>
      </c>
      <c r="S7" s="23" t="str">
        <f t="shared" si="0"/>
        <v>TCN000UTN0011</v>
      </c>
      <c r="T7" s="23" t="str">
        <f t="shared" si="0"/>
        <v>TCN000UTN0012</v>
      </c>
      <c r="U7" s="23" t="str">
        <f t="shared" si="0"/>
        <v>TCN000UTN0013</v>
      </c>
      <c r="V7" s="23" t="str">
        <f t="shared" si="0"/>
        <v/>
      </c>
      <c r="W7" s="23" t="str">
        <f t="shared" si="0"/>
        <v/>
      </c>
      <c r="X7" s="24" t="str">
        <f t="shared" si="0"/>
        <v/>
      </c>
    </row>
    <row r="8" spans="1:27" s="6" customFormat="1" ht="11.25" customHeight="1">
      <c r="A8" s="108" t="s">
        <v>23</v>
      </c>
      <c r="B8" s="25" t="s">
        <v>79</v>
      </c>
      <c r="C8" s="26"/>
      <c r="D8" s="27"/>
      <c r="E8" s="28" t="s">
        <v>42</v>
      </c>
      <c r="F8" s="29" t="s">
        <v>42</v>
      </c>
      <c r="G8" s="29" t="s">
        <v>42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42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9"/>
      <c r="B9" s="30" t="s">
        <v>52</v>
      </c>
      <c r="C9" s="31"/>
      <c r="D9" s="32"/>
      <c r="E9" s="88"/>
      <c r="F9" s="88"/>
      <c r="G9" s="33"/>
      <c r="H9" s="88"/>
      <c r="I9" s="88"/>
      <c r="J9" s="33"/>
      <c r="K9" s="88"/>
      <c r="L9" s="33"/>
      <c r="M9" s="33"/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9"/>
      <c r="B10" s="30" t="s">
        <v>67</v>
      </c>
      <c r="C10" s="31"/>
      <c r="D10" s="32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9"/>
      <c r="B11" s="30" t="s">
        <v>77</v>
      </c>
      <c r="C11" s="31"/>
      <c r="D11" s="32"/>
      <c r="E11" s="88"/>
      <c r="F11" s="88"/>
      <c r="G11" s="33"/>
      <c r="H11" s="88"/>
      <c r="I11" s="88"/>
      <c r="J11" s="88"/>
      <c r="K11" s="88" t="s">
        <v>55</v>
      </c>
      <c r="L11" s="88" t="s">
        <v>55</v>
      </c>
      <c r="M11" s="88"/>
      <c r="N11" s="88"/>
      <c r="O11" s="88"/>
      <c r="P11" s="33"/>
      <c r="Q11" s="90"/>
      <c r="R11" s="33"/>
      <c r="S11" s="33"/>
      <c r="T11" s="33"/>
      <c r="U11" s="33"/>
      <c r="V11" s="88" t="s">
        <v>55</v>
      </c>
      <c r="W11" s="88" t="s">
        <v>55</v>
      </c>
      <c r="X11" s="88" t="s">
        <v>55</v>
      </c>
    </row>
    <row r="12" spans="1:27" ht="11.25" customHeight="1">
      <c r="A12" s="109"/>
      <c r="B12" s="30" t="s">
        <v>78</v>
      </c>
      <c r="C12" s="31"/>
      <c r="D12" s="32"/>
      <c r="E12" s="88" t="s">
        <v>55</v>
      </c>
      <c r="F12" s="88" t="s">
        <v>55</v>
      </c>
      <c r="G12" s="88" t="s">
        <v>55</v>
      </c>
      <c r="H12" s="88" t="s">
        <v>55</v>
      </c>
      <c r="I12" s="88"/>
      <c r="J12" s="88"/>
      <c r="K12" s="88" t="s">
        <v>55</v>
      </c>
      <c r="L12" s="88" t="s">
        <v>55</v>
      </c>
      <c r="M12" s="88"/>
      <c r="N12" s="88" t="s">
        <v>55</v>
      </c>
      <c r="O12" s="88" t="s">
        <v>55</v>
      </c>
      <c r="P12" s="33"/>
      <c r="Q12" s="90"/>
      <c r="R12" s="33"/>
      <c r="S12" s="33"/>
      <c r="T12" s="33"/>
      <c r="U12" s="33"/>
      <c r="V12" s="88" t="s">
        <v>55</v>
      </c>
      <c r="W12" s="88" t="s">
        <v>55</v>
      </c>
      <c r="X12" s="88" t="s">
        <v>55</v>
      </c>
    </row>
    <row r="13" spans="1:27" ht="11.25" customHeight="1">
      <c r="A13" s="109"/>
      <c r="B13" s="30" t="s">
        <v>68</v>
      </c>
      <c r="C13" s="31"/>
      <c r="D13" s="32"/>
      <c r="E13" s="88" t="s">
        <v>55</v>
      </c>
      <c r="F13" s="88" t="s">
        <v>55</v>
      </c>
      <c r="G13" s="88" t="s">
        <v>55</v>
      </c>
      <c r="H13" s="88" t="s">
        <v>55</v>
      </c>
      <c r="I13" s="88"/>
      <c r="J13" s="88"/>
      <c r="K13" s="88" t="s">
        <v>55</v>
      </c>
      <c r="L13" s="88" t="s">
        <v>55</v>
      </c>
      <c r="M13" s="88"/>
      <c r="N13" s="88" t="s">
        <v>55</v>
      </c>
      <c r="O13" s="88" t="s">
        <v>55</v>
      </c>
      <c r="P13" s="88"/>
      <c r="Q13" s="88"/>
      <c r="R13" s="88"/>
      <c r="S13" s="88"/>
      <c r="T13" s="88"/>
      <c r="U13" s="88"/>
      <c r="V13" s="88" t="s">
        <v>55</v>
      </c>
      <c r="W13" s="88" t="s">
        <v>55</v>
      </c>
      <c r="X13" s="88" t="s">
        <v>55</v>
      </c>
    </row>
    <row r="14" spans="1:27" ht="11.25" customHeight="1">
      <c r="A14" s="109"/>
      <c r="B14" s="30" t="s">
        <v>69</v>
      </c>
      <c r="C14" s="31"/>
      <c r="D14" s="32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 t="s">
        <v>55</v>
      </c>
      <c r="Q14" s="88"/>
      <c r="R14" s="88" t="s">
        <v>55</v>
      </c>
      <c r="S14" s="88" t="s">
        <v>55</v>
      </c>
      <c r="T14" s="88" t="s">
        <v>55</v>
      </c>
      <c r="U14" s="88" t="s">
        <v>55</v>
      </c>
      <c r="V14" s="88"/>
      <c r="W14" s="88"/>
      <c r="X14" s="88"/>
    </row>
    <row r="15" spans="1:27" ht="11.25" customHeight="1">
      <c r="A15" s="109"/>
      <c r="B15" s="30" t="s">
        <v>70</v>
      </c>
      <c r="C15" s="31"/>
      <c r="D15" s="32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</row>
    <row r="16" spans="1:27" ht="11.25" customHeight="1">
      <c r="A16" s="109"/>
      <c r="B16" s="30" t="s">
        <v>71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 t="s">
        <v>55</v>
      </c>
      <c r="N16" s="88" t="s">
        <v>55</v>
      </c>
      <c r="O16" s="88" t="s">
        <v>55</v>
      </c>
      <c r="P16" s="88"/>
      <c r="Q16" s="88"/>
      <c r="R16" s="88"/>
      <c r="S16" s="88"/>
      <c r="T16" s="88"/>
      <c r="U16" s="88"/>
      <c r="V16" s="33"/>
      <c r="W16" s="33"/>
      <c r="X16" s="34"/>
    </row>
    <row r="17" spans="1:24" ht="11.25" customHeight="1">
      <c r="A17" s="109"/>
      <c r="B17" s="30" t="s">
        <v>72</v>
      </c>
      <c r="C17" s="31"/>
      <c r="D17" s="32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 t="s">
        <v>55</v>
      </c>
      <c r="R17" s="88"/>
      <c r="S17" s="88"/>
      <c r="T17" s="88" t="s">
        <v>55</v>
      </c>
      <c r="U17" s="88" t="s">
        <v>55</v>
      </c>
      <c r="V17" s="33"/>
      <c r="W17" s="33"/>
      <c r="X17" s="34"/>
    </row>
    <row r="18" spans="1:24" ht="11.25" customHeight="1">
      <c r="A18" s="109"/>
      <c r="B18" s="30" t="s">
        <v>73</v>
      </c>
      <c r="C18" s="31"/>
      <c r="D18" s="32"/>
      <c r="E18" s="88"/>
      <c r="F18" s="88"/>
      <c r="G18" s="88" t="s">
        <v>55</v>
      </c>
      <c r="H18" s="88" t="s">
        <v>55</v>
      </c>
      <c r="I18" s="88" t="s">
        <v>55</v>
      </c>
      <c r="J18" s="88" t="s">
        <v>55</v>
      </c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33"/>
      <c r="W18" s="33"/>
      <c r="X18" s="34"/>
    </row>
    <row r="19" spans="1:24" ht="11.25" customHeight="1">
      <c r="A19" s="109"/>
      <c r="B19" s="30" t="s">
        <v>74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33"/>
      <c r="P19" s="33"/>
      <c r="Q19" s="88"/>
      <c r="R19" s="88"/>
      <c r="S19" s="88"/>
      <c r="T19" s="88"/>
      <c r="U19" s="88"/>
      <c r="V19" s="33"/>
      <c r="W19" s="33"/>
      <c r="X19" s="34"/>
    </row>
    <row r="20" spans="1:24" ht="11.25" customHeight="1">
      <c r="A20" s="109"/>
      <c r="B20" s="30" t="s">
        <v>53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9"/>
      <c r="B21" s="30" t="s">
        <v>54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9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9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9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9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9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9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9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9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10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8" t="s">
        <v>24</v>
      </c>
      <c r="B31" s="25" t="s">
        <v>93</v>
      </c>
      <c r="C31" s="26"/>
      <c r="D31" s="27"/>
      <c r="E31" s="88" t="s">
        <v>129</v>
      </c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9"/>
      <c r="B32" s="30" t="s">
        <v>100</v>
      </c>
      <c r="C32" s="31"/>
      <c r="D32" s="32"/>
      <c r="E32" s="89"/>
      <c r="F32" s="88" t="s">
        <v>129</v>
      </c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9"/>
      <c r="B33" s="30" t="s">
        <v>94</v>
      </c>
      <c r="C33" s="31"/>
      <c r="D33" s="32"/>
      <c r="E33" s="89"/>
      <c r="F33" s="88"/>
      <c r="G33" s="88" t="s">
        <v>55</v>
      </c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9"/>
      <c r="B34" s="30" t="s">
        <v>101</v>
      </c>
      <c r="C34" s="31"/>
      <c r="D34" s="32"/>
      <c r="E34" s="89"/>
      <c r="F34" s="88"/>
      <c r="G34" s="88"/>
      <c r="H34" s="88" t="s">
        <v>55</v>
      </c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9"/>
      <c r="B35" s="30" t="s">
        <v>95</v>
      </c>
      <c r="C35" s="31"/>
      <c r="D35" s="32"/>
      <c r="E35" s="89"/>
      <c r="F35" s="88"/>
      <c r="G35" s="88"/>
      <c r="H35" s="88"/>
      <c r="I35" s="88" t="s">
        <v>55</v>
      </c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9"/>
      <c r="B36" s="30" t="s">
        <v>102</v>
      </c>
      <c r="C36" s="31"/>
      <c r="D36" s="32"/>
      <c r="E36" s="89"/>
      <c r="F36" s="88"/>
      <c r="G36" s="88"/>
      <c r="H36" s="88"/>
      <c r="I36" s="88"/>
      <c r="J36" s="88" t="s">
        <v>55</v>
      </c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9"/>
      <c r="B37" s="30" t="s">
        <v>96</v>
      </c>
      <c r="C37" s="31"/>
      <c r="D37" s="32"/>
      <c r="E37" s="89"/>
      <c r="F37" s="88"/>
      <c r="G37" s="88"/>
      <c r="H37" s="88"/>
      <c r="I37" s="88"/>
      <c r="J37" s="33"/>
      <c r="K37" s="88" t="s">
        <v>55</v>
      </c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9"/>
      <c r="B38" s="30" t="s">
        <v>103</v>
      </c>
      <c r="C38" s="31"/>
      <c r="D38" s="32"/>
      <c r="E38" s="89"/>
      <c r="F38" s="88"/>
      <c r="G38" s="88"/>
      <c r="H38" s="88"/>
      <c r="I38" s="88"/>
      <c r="J38" s="33"/>
      <c r="K38" s="33"/>
      <c r="L38" s="88" t="s">
        <v>55</v>
      </c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9"/>
      <c r="B39" s="30" t="s">
        <v>97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 t="s">
        <v>55</v>
      </c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9"/>
      <c r="B40" s="30" t="s">
        <v>104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 t="s">
        <v>55</v>
      </c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9"/>
      <c r="B41" s="30" t="s">
        <v>130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/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9"/>
      <c r="B42" s="30" t="s">
        <v>105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/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9"/>
      <c r="B43" s="30" t="s">
        <v>98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/>
      <c r="R43" s="33"/>
      <c r="S43" s="33"/>
      <c r="T43" s="33"/>
      <c r="U43" s="33"/>
      <c r="V43" s="33"/>
      <c r="W43" s="33"/>
      <c r="X43" s="34"/>
    </row>
    <row r="44" spans="1:24" ht="11.25" customHeight="1">
      <c r="A44" s="109"/>
      <c r="B44" s="30" t="s">
        <v>106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/>
      <c r="S44" s="33"/>
      <c r="T44" s="33"/>
      <c r="U44" s="33"/>
      <c r="V44" s="33"/>
      <c r="W44" s="33"/>
      <c r="X44" s="34"/>
    </row>
    <row r="45" spans="1:24" ht="11.25" customHeight="1">
      <c r="A45" s="109"/>
      <c r="B45" s="30" t="s">
        <v>99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 t="s">
        <v>55</v>
      </c>
      <c r="T45" s="88"/>
      <c r="U45" s="88"/>
      <c r="V45" s="33"/>
      <c r="W45" s="33"/>
      <c r="X45" s="33"/>
    </row>
    <row r="46" spans="1:24" ht="11.25" customHeight="1">
      <c r="A46" s="109"/>
      <c r="B46" s="30" t="s">
        <v>149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 t="s">
        <v>55</v>
      </c>
      <c r="U46" s="88"/>
      <c r="V46" s="33"/>
      <c r="W46" s="33"/>
      <c r="X46" s="33"/>
    </row>
    <row r="47" spans="1:24" ht="11.25" customHeight="1">
      <c r="A47" s="109"/>
      <c r="B47" s="30" t="s">
        <v>131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 t="s">
        <v>55</v>
      </c>
      <c r="V47" s="33"/>
      <c r="W47" s="33"/>
      <c r="X47" s="33"/>
    </row>
    <row r="48" spans="1:24" ht="11.25" customHeight="1">
      <c r="A48" s="109"/>
      <c r="B48" s="30" t="s">
        <v>140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/>
      <c r="W48" s="33"/>
      <c r="X48" s="33"/>
    </row>
    <row r="49" spans="1:24" ht="11.25" customHeight="1">
      <c r="A49" s="109"/>
      <c r="B49" s="30" t="s">
        <v>150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/>
      <c r="X49" s="33"/>
    </row>
    <row r="50" spans="1:24" ht="11.25" customHeight="1">
      <c r="A50" s="109"/>
      <c r="B50" s="30" t="s">
        <v>141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/>
    </row>
    <row r="51" spans="1:24" ht="11.25" customHeight="1" thickBot="1">
      <c r="A51" s="110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6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>N</v>
      </c>
      <c r="F53" s="50" t="str">
        <f t="shared" si="1"/>
        <v>N</v>
      </c>
      <c r="G53" s="50" t="str">
        <f t="shared" si="1"/>
        <v>N</v>
      </c>
      <c r="H53" s="50" t="str">
        <f t="shared" si="1"/>
        <v>N</v>
      </c>
      <c r="I53" s="50" t="str">
        <f t="shared" si="1"/>
        <v>N</v>
      </c>
      <c r="J53" s="50" t="str">
        <f t="shared" si="1"/>
        <v>N</v>
      </c>
      <c r="K53" s="50" t="str">
        <f t="shared" si="1"/>
        <v>N</v>
      </c>
      <c r="L53" s="50" t="str">
        <f t="shared" si="1"/>
        <v>N</v>
      </c>
      <c r="M53" s="50" t="str">
        <f t="shared" si="1"/>
        <v>N</v>
      </c>
      <c r="N53" s="50" t="str">
        <f t="shared" si="1"/>
        <v>N</v>
      </c>
      <c r="O53" s="50" t="str">
        <f t="shared" si="1"/>
        <v/>
      </c>
      <c r="P53" s="50" t="str">
        <f t="shared" si="1"/>
        <v/>
      </c>
      <c r="Q53" s="50" t="str">
        <f t="shared" si="1"/>
        <v/>
      </c>
      <c r="R53" s="50" t="str">
        <f t="shared" si="1"/>
        <v/>
      </c>
      <c r="S53" s="50" t="str">
        <f t="shared" si="1"/>
        <v>N</v>
      </c>
      <c r="T53" s="50" t="str">
        <f t="shared" si="1"/>
        <v>N</v>
      </c>
      <c r="U53" s="50" t="str">
        <f t="shared" si="1"/>
        <v>N</v>
      </c>
      <c r="V53" s="50" t="str">
        <f t="shared" si="1"/>
        <v/>
      </c>
      <c r="W53" s="50" t="str">
        <f t="shared" si="1"/>
        <v/>
      </c>
      <c r="X53" s="50" t="str">
        <f t="shared" si="1"/>
        <v/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8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29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1</v>
      </c>
      <c r="F59" s="83">
        <f>IF(F53="",0,MAX($E59:E59)+1)</f>
        <v>2</v>
      </c>
      <c r="G59" s="83">
        <f>IF(G53="",0,MAX($E59:F59)+1)</f>
        <v>3</v>
      </c>
      <c r="H59" s="83">
        <f>IF(H53="",0,MAX($E59:G59)+1)</f>
        <v>4</v>
      </c>
      <c r="I59" s="83">
        <f>IF(I53="",0,MAX($E59:H59)+1)</f>
        <v>5</v>
      </c>
      <c r="J59" s="83">
        <f>IF(J53="",0,MAX($E59:I59)+1)</f>
        <v>6</v>
      </c>
      <c r="K59" s="83">
        <f>IF(K53="",0,MAX($E59:J59)+1)</f>
        <v>7</v>
      </c>
      <c r="L59" s="83">
        <f>IF(L53="",0,MAX($E59:K59)+1)</f>
        <v>8</v>
      </c>
      <c r="M59" s="83">
        <f>IF(M53="",0,MAX($E59:L59)+1)</f>
        <v>9</v>
      </c>
      <c r="N59" s="83">
        <f>IF(N53="",0,MAX($E59:M59)+1)</f>
        <v>10</v>
      </c>
      <c r="O59" s="83">
        <f>IF(O53="",0,MAX($E59:N59)+1)</f>
        <v>0</v>
      </c>
      <c r="P59" s="83">
        <f>IF(P53="",0,MAX($E59:O59)+1)</f>
        <v>0</v>
      </c>
      <c r="Q59" s="83">
        <f>IF(Q53="",0,MAX($E59:P59)+1)</f>
        <v>0</v>
      </c>
      <c r="R59" s="83">
        <f>IF(R53="",0,MAX($E59:Q59)+1)</f>
        <v>0</v>
      </c>
      <c r="S59" s="83">
        <f>IF(S53="",0,MAX($E59:R59)+1)</f>
        <v>11</v>
      </c>
      <c r="T59" s="83">
        <f>IF(T53="",0,MAX($E59:S59)+1)</f>
        <v>12</v>
      </c>
      <c r="U59" s="83">
        <f>IF(U53="",0,MAX($E59:T59)+1)</f>
        <v>13</v>
      </c>
      <c r="V59" s="83">
        <f>IF(V53="",0,MAX($E59:U59)+1)</f>
        <v>0</v>
      </c>
      <c r="W59" s="83">
        <f>IF(W53="",0,MAX($E59:V59)+1)</f>
        <v>0</v>
      </c>
      <c r="X59" s="83">
        <f>IF(X53="",0,MAX($E59:W59)+1)</f>
        <v>0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>N</v>
      </c>
      <c r="F60" s="83" t="str">
        <f t="shared" si="2"/>
        <v>N</v>
      </c>
      <c r="G60" s="83" t="str">
        <f t="shared" si="2"/>
        <v>N</v>
      </c>
      <c r="H60" s="83" t="str">
        <f t="shared" si="2"/>
        <v>N</v>
      </c>
      <c r="I60" s="83" t="str">
        <f t="shared" si="2"/>
        <v>N</v>
      </c>
      <c r="J60" s="83" t="str">
        <f t="shared" si="2"/>
        <v>N</v>
      </c>
      <c r="K60" s="83" t="str">
        <f t="shared" si="2"/>
        <v>N</v>
      </c>
      <c r="L60" s="83" t="str">
        <f t="shared" si="2"/>
        <v>N</v>
      </c>
      <c r="M60" s="83" t="str">
        <f t="shared" si="2"/>
        <v>N</v>
      </c>
      <c r="N60" s="83" t="str">
        <f t="shared" si="2"/>
        <v>N</v>
      </c>
      <c r="O60" s="83" t="str">
        <f t="shared" si="2"/>
        <v/>
      </c>
      <c r="P60" s="83" t="str">
        <f t="shared" si="2"/>
        <v/>
      </c>
      <c r="Q60" s="83" t="str">
        <f t="shared" si="2"/>
        <v/>
      </c>
      <c r="R60" s="83" t="str">
        <f t="shared" si="2"/>
        <v/>
      </c>
      <c r="S60" s="83" t="str">
        <f t="shared" si="2"/>
        <v>N</v>
      </c>
      <c r="T60" s="83" t="str">
        <f t="shared" si="2"/>
        <v>N</v>
      </c>
      <c r="U60" s="83" t="str">
        <f t="shared" si="2"/>
        <v>N</v>
      </c>
      <c r="V60" s="83" t="str">
        <f t="shared" si="2"/>
        <v/>
      </c>
      <c r="W60" s="83" t="str">
        <f t="shared" si="2"/>
        <v/>
      </c>
      <c r="X60" s="83" t="str">
        <f t="shared" si="2"/>
        <v/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13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sheetProtection sheet="1" objects="1" scenarios="1"/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98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99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0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1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2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3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AA75"/>
  <sheetViews>
    <sheetView showGridLines="0" view="pageBreakPreview" zoomScale="130" zoomScaleNormal="130" zoomScaleSheetLayoutView="130" workbookViewId="0">
      <selection activeCell="E15" sqref="E15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9"/>
      <c r="V2" s="100"/>
      <c r="W2" s="100"/>
      <c r="X2" s="101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2"/>
      <c r="V3" s="103"/>
      <c r="W3" s="103"/>
      <c r="X3" s="104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2"/>
      <c r="V4" s="103"/>
      <c r="W4" s="103"/>
      <c r="X4" s="104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5"/>
      <c r="V5" s="106"/>
      <c r="W5" s="106"/>
      <c r="X5" s="107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/>
      </c>
      <c r="F7" s="23" t="str">
        <f t="shared" ref="F7:X7" si="0">IF(F53="","",$C$62 &amp; $C$61 &amp; $C$60 &amp; F53 &amp; TEXT(F59,"0000" ))</f>
        <v/>
      </c>
      <c r="G7" s="23" t="str">
        <f t="shared" si="0"/>
        <v/>
      </c>
      <c r="H7" s="23" t="str">
        <f t="shared" si="0"/>
        <v/>
      </c>
      <c r="I7" s="23" t="str">
        <f t="shared" si="0"/>
        <v/>
      </c>
      <c r="J7" s="23" t="str">
        <f t="shared" si="0"/>
        <v/>
      </c>
      <c r="K7" s="23" t="str">
        <f t="shared" si="0"/>
        <v/>
      </c>
      <c r="L7" s="23" t="str">
        <f t="shared" si="0"/>
        <v/>
      </c>
      <c r="M7" s="23" t="str">
        <f t="shared" si="0"/>
        <v/>
      </c>
      <c r="N7" s="23" t="str">
        <f t="shared" si="0"/>
        <v/>
      </c>
      <c r="O7" s="23" t="str">
        <f t="shared" si="0"/>
        <v/>
      </c>
      <c r="P7" s="23" t="str">
        <f t="shared" si="0"/>
        <v/>
      </c>
      <c r="Q7" s="23" t="str">
        <f t="shared" si="0"/>
        <v/>
      </c>
      <c r="R7" s="23" t="str">
        <f t="shared" si="0"/>
        <v/>
      </c>
      <c r="S7" s="23" t="str">
        <f t="shared" si="0"/>
        <v/>
      </c>
      <c r="T7" s="23" t="str">
        <f t="shared" si="0"/>
        <v/>
      </c>
      <c r="U7" s="23" t="str">
        <f t="shared" si="0"/>
        <v/>
      </c>
      <c r="V7" s="23" t="str">
        <f t="shared" si="0"/>
        <v/>
      </c>
      <c r="W7" s="23" t="str">
        <f t="shared" si="0"/>
        <v/>
      </c>
      <c r="X7" s="24" t="str">
        <f t="shared" si="0"/>
        <v/>
      </c>
    </row>
    <row r="8" spans="1:27" s="6" customFormat="1" ht="11.25" customHeight="1">
      <c r="A8" s="108" t="s">
        <v>23</v>
      </c>
      <c r="B8" s="25" t="s">
        <v>79</v>
      </c>
      <c r="C8" s="26"/>
      <c r="D8" s="27"/>
      <c r="E8" s="28" t="s">
        <v>128</v>
      </c>
      <c r="F8" s="29" t="s">
        <v>42</v>
      </c>
      <c r="G8" s="29" t="s">
        <v>42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42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9"/>
      <c r="B9" s="30" t="s">
        <v>52</v>
      </c>
      <c r="C9" s="31"/>
      <c r="D9" s="32"/>
      <c r="E9" s="88"/>
      <c r="F9" s="88"/>
      <c r="G9" s="33"/>
      <c r="H9" s="88"/>
      <c r="I9" s="88"/>
      <c r="J9" s="33"/>
      <c r="K9" s="88"/>
      <c r="L9" s="33"/>
      <c r="M9" s="33"/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9"/>
      <c r="B10" s="30" t="s">
        <v>67</v>
      </c>
      <c r="C10" s="31"/>
      <c r="D10" s="32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9"/>
      <c r="B11" s="30" t="s">
        <v>77</v>
      </c>
      <c r="C11" s="31"/>
      <c r="D11" s="32"/>
      <c r="E11" s="88" t="s">
        <v>128</v>
      </c>
      <c r="F11" s="88"/>
      <c r="G11" s="33"/>
      <c r="H11" s="88"/>
      <c r="I11" s="88"/>
      <c r="J11" s="88"/>
      <c r="K11" s="88"/>
      <c r="L11" s="88"/>
      <c r="M11" s="88"/>
      <c r="N11" s="88"/>
      <c r="O11" s="88"/>
      <c r="P11" s="33"/>
      <c r="Q11" s="90"/>
      <c r="R11" s="33"/>
      <c r="S11" s="33"/>
      <c r="T11" s="33"/>
      <c r="U11" s="33"/>
      <c r="V11" s="33"/>
      <c r="W11" s="33"/>
      <c r="X11" s="34"/>
    </row>
    <row r="12" spans="1:27" ht="11.25" customHeight="1">
      <c r="A12" s="109"/>
      <c r="B12" s="30" t="s">
        <v>78</v>
      </c>
      <c r="C12" s="31"/>
      <c r="D12" s="32"/>
      <c r="E12" s="88" t="s">
        <v>128</v>
      </c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33"/>
      <c r="Q12" s="90"/>
      <c r="R12" s="33"/>
      <c r="S12" s="33"/>
      <c r="T12" s="33"/>
      <c r="U12" s="33"/>
      <c r="V12" s="88"/>
      <c r="W12" s="33"/>
      <c r="X12" s="34"/>
    </row>
    <row r="13" spans="1:27" ht="11.25" customHeight="1">
      <c r="A13" s="109"/>
      <c r="B13" s="30" t="s">
        <v>68</v>
      </c>
      <c r="C13" s="31"/>
      <c r="D13" s="32"/>
      <c r="E13" s="89" t="s">
        <v>128</v>
      </c>
      <c r="F13" s="88"/>
      <c r="G13" s="33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33"/>
      <c r="S13" s="33"/>
      <c r="T13" s="88"/>
      <c r="U13" s="88"/>
      <c r="V13" s="33"/>
      <c r="W13" s="33"/>
      <c r="X13" s="34"/>
    </row>
    <row r="14" spans="1:27" ht="11.25" customHeight="1">
      <c r="A14" s="109"/>
      <c r="B14" s="30" t="s">
        <v>69</v>
      </c>
      <c r="C14" s="31"/>
      <c r="D14" s="32"/>
      <c r="E14" s="88"/>
      <c r="F14" s="88"/>
      <c r="G14" s="33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33"/>
      <c r="U14" s="88"/>
      <c r="V14" s="88"/>
      <c r="W14" s="88"/>
      <c r="X14" s="88"/>
    </row>
    <row r="15" spans="1:27" ht="11.25" customHeight="1">
      <c r="A15" s="109"/>
      <c r="B15" s="30" t="s">
        <v>70</v>
      </c>
      <c r="C15" s="31"/>
      <c r="D15" s="32"/>
      <c r="E15" s="88"/>
      <c r="F15" s="88"/>
      <c r="G15" s="33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33"/>
      <c r="T15" s="88"/>
      <c r="U15" s="88"/>
      <c r="V15" s="88"/>
      <c r="W15" s="88"/>
      <c r="X15" s="88"/>
    </row>
    <row r="16" spans="1:27" ht="11.25" customHeight="1">
      <c r="A16" s="109"/>
      <c r="B16" s="30" t="s">
        <v>71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33"/>
      <c r="S16" s="88"/>
      <c r="T16" s="88"/>
      <c r="U16" s="88"/>
      <c r="V16" s="33"/>
      <c r="W16" s="33"/>
      <c r="X16" s="34"/>
    </row>
    <row r="17" spans="1:24" ht="11.25" customHeight="1">
      <c r="A17" s="109"/>
      <c r="B17" s="30" t="s">
        <v>72</v>
      </c>
      <c r="C17" s="31"/>
      <c r="D17" s="32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33"/>
      <c r="T17" s="88"/>
      <c r="U17" s="88"/>
      <c r="V17" s="33"/>
      <c r="W17" s="33"/>
      <c r="X17" s="34"/>
    </row>
    <row r="18" spans="1:24" ht="11.25" customHeight="1">
      <c r="A18" s="109"/>
      <c r="B18" s="30" t="s">
        <v>73</v>
      </c>
      <c r="C18" s="31"/>
      <c r="D18" s="32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33"/>
      <c r="R18" s="88"/>
      <c r="S18" s="88"/>
      <c r="T18" s="88"/>
      <c r="U18" s="33"/>
      <c r="V18" s="33"/>
      <c r="W18" s="33"/>
      <c r="X18" s="34"/>
    </row>
    <row r="19" spans="1:24" ht="11.25" customHeight="1">
      <c r="A19" s="109"/>
      <c r="B19" s="30" t="s">
        <v>74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88"/>
      <c r="P19" s="88"/>
      <c r="Q19" s="33"/>
      <c r="R19" s="33"/>
      <c r="S19" s="88"/>
      <c r="T19" s="88"/>
      <c r="U19" s="33"/>
      <c r="V19" s="33"/>
      <c r="W19" s="33"/>
      <c r="X19" s="34"/>
    </row>
    <row r="20" spans="1:24" ht="11.25" customHeight="1">
      <c r="A20" s="109"/>
      <c r="B20" s="30" t="s">
        <v>53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9"/>
      <c r="B21" s="30" t="s">
        <v>54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9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9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9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9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9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9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9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9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10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8" t="s">
        <v>24</v>
      </c>
      <c r="B31" s="25" t="s">
        <v>139</v>
      </c>
      <c r="C31" s="26"/>
      <c r="D31" s="27"/>
      <c r="E31" s="88"/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9"/>
      <c r="B32" s="30" t="s">
        <v>132</v>
      </c>
      <c r="C32" s="31"/>
      <c r="D32" s="32"/>
      <c r="E32" s="89"/>
      <c r="F32" s="88"/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9"/>
      <c r="B33" s="30" t="s">
        <v>133</v>
      </c>
      <c r="C33" s="31"/>
      <c r="D33" s="32"/>
      <c r="E33" s="89"/>
      <c r="F33" s="88"/>
      <c r="G33" s="88"/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9"/>
      <c r="B34" s="30" t="s">
        <v>134</v>
      </c>
      <c r="C34" s="31"/>
      <c r="D34" s="32"/>
      <c r="E34" s="89"/>
      <c r="F34" s="88"/>
      <c r="G34" s="88"/>
      <c r="H34" s="88"/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9"/>
      <c r="B35" s="30" t="s">
        <v>135</v>
      </c>
      <c r="C35" s="31"/>
      <c r="D35" s="32"/>
      <c r="E35" s="89"/>
      <c r="F35" s="88"/>
      <c r="G35" s="88"/>
      <c r="H35" s="88"/>
      <c r="I35" s="88"/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9"/>
      <c r="B36" s="30" t="s">
        <v>136</v>
      </c>
      <c r="C36" s="31"/>
      <c r="D36" s="32"/>
      <c r="E36" s="89"/>
      <c r="F36" s="88"/>
      <c r="G36" s="88"/>
      <c r="H36" s="88"/>
      <c r="I36" s="88"/>
      <c r="J36" s="88"/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9"/>
      <c r="B37" s="30" t="s">
        <v>137</v>
      </c>
      <c r="C37" s="31"/>
      <c r="D37" s="32"/>
      <c r="E37" s="89"/>
      <c r="F37" s="88"/>
      <c r="G37" s="88"/>
      <c r="H37" s="88"/>
      <c r="I37" s="88"/>
      <c r="J37" s="33"/>
      <c r="K37" s="88"/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9"/>
      <c r="B38" s="30" t="s">
        <v>138</v>
      </c>
      <c r="C38" s="31"/>
      <c r="D38" s="32"/>
      <c r="E38" s="89"/>
      <c r="F38" s="88"/>
      <c r="G38" s="88"/>
      <c r="H38" s="88"/>
      <c r="I38" s="88"/>
      <c r="J38" s="33"/>
      <c r="K38" s="33"/>
      <c r="L38" s="88"/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9"/>
      <c r="B39" s="30" t="s">
        <v>111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/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9"/>
      <c r="B40" s="30" t="s">
        <v>117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/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9"/>
      <c r="B41" s="30" t="s">
        <v>118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/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9"/>
      <c r="B42" s="30" t="s">
        <v>119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/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9"/>
      <c r="B43" s="30" t="s">
        <v>120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/>
      <c r="R43" s="33"/>
      <c r="S43" s="33"/>
      <c r="T43" s="33"/>
      <c r="U43" s="33"/>
      <c r="V43" s="33"/>
      <c r="W43" s="33"/>
      <c r="X43" s="34"/>
    </row>
    <row r="44" spans="1:24" ht="11.25" customHeight="1">
      <c r="A44" s="109"/>
      <c r="B44" s="30" t="s">
        <v>121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/>
      <c r="S44" s="33"/>
      <c r="T44" s="33"/>
      <c r="U44" s="33"/>
      <c r="V44" s="33"/>
      <c r="W44" s="33"/>
      <c r="X44" s="34"/>
    </row>
    <row r="45" spans="1:24" ht="11.25" customHeight="1">
      <c r="A45" s="109"/>
      <c r="B45" s="30" t="s">
        <v>122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/>
      <c r="T45" s="88"/>
      <c r="U45" s="88"/>
      <c r="V45" s="33"/>
      <c r="W45" s="33"/>
      <c r="X45" s="33"/>
    </row>
    <row r="46" spans="1:24" ht="11.25" customHeight="1">
      <c r="A46" s="109"/>
      <c r="B46" s="30" t="s">
        <v>123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/>
      <c r="U46" s="88"/>
      <c r="V46" s="33"/>
      <c r="W46" s="33"/>
      <c r="X46" s="33"/>
    </row>
    <row r="47" spans="1:24" ht="11.25" customHeight="1">
      <c r="A47" s="109"/>
      <c r="B47" s="30" t="s">
        <v>124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/>
      <c r="V47" s="33"/>
      <c r="W47" s="33"/>
      <c r="X47" s="33"/>
    </row>
    <row r="48" spans="1:24" ht="11.25" customHeight="1">
      <c r="A48" s="109"/>
      <c r="B48" s="30" t="s">
        <v>125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/>
      <c r="W48" s="33"/>
      <c r="X48" s="33"/>
    </row>
    <row r="49" spans="1:24" ht="11.25" customHeight="1">
      <c r="A49" s="109"/>
      <c r="B49" s="30" t="s">
        <v>126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/>
      <c r="X49" s="33"/>
    </row>
    <row r="50" spans="1:24" ht="11.25" customHeight="1">
      <c r="A50" s="109"/>
      <c r="B50" s="30" t="s">
        <v>127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/>
    </row>
    <row r="51" spans="1:24" ht="11.25" customHeight="1" thickBot="1">
      <c r="A51" s="110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8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/>
      </c>
      <c r="F53" s="50" t="str">
        <f t="shared" si="1"/>
        <v/>
      </c>
      <c r="G53" s="50" t="str">
        <f t="shared" si="1"/>
        <v/>
      </c>
      <c r="H53" s="50" t="str">
        <f t="shared" si="1"/>
        <v/>
      </c>
      <c r="I53" s="50" t="str">
        <f t="shared" si="1"/>
        <v/>
      </c>
      <c r="J53" s="50" t="str">
        <f t="shared" si="1"/>
        <v/>
      </c>
      <c r="K53" s="50" t="str">
        <f t="shared" si="1"/>
        <v/>
      </c>
      <c r="L53" s="50" t="str">
        <f t="shared" si="1"/>
        <v/>
      </c>
      <c r="M53" s="50" t="str">
        <f t="shared" si="1"/>
        <v/>
      </c>
      <c r="N53" s="50" t="str">
        <f t="shared" si="1"/>
        <v/>
      </c>
      <c r="O53" s="50" t="str">
        <f t="shared" si="1"/>
        <v/>
      </c>
      <c r="P53" s="50" t="str">
        <f t="shared" si="1"/>
        <v/>
      </c>
      <c r="Q53" s="50" t="str">
        <f t="shared" si="1"/>
        <v/>
      </c>
      <c r="R53" s="50" t="str">
        <f t="shared" si="1"/>
        <v/>
      </c>
      <c r="S53" s="50" t="str">
        <f t="shared" si="1"/>
        <v/>
      </c>
      <c r="T53" s="50" t="str">
        <f t="shared" si="1"/>
        <v/>
      </c>
      <c r="U53" s="50" t="str">
        <f t="shared" si="1"/>
        <v/>
      </c>
      <c r="V53" s="50" t="str">
        <f t="shared" si="1"/>
        <v/>
      </c>
      <c r="W53" s="50" t="str">
        <f t="shared" si="1"/>
        <v/>
      </c>
      <c r="X53" s="50" t="str">
        <f t="shared" si="1"/>
        <v/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8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29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0</v>
      </c>
      <c r="F59" s="83">
        <f>IF(F53="",0,MAX($E59:E59)+1)</f>
        <v>0</v>
      </c>
      <c r="G59" s="83">
        <f>IF(G53="",0,MAX($E59:F59)+1)</f>
        <v>0</v>
      </c>
      <c r="H59" s="83">
        <f>IF(H53="",0,MAX($E59:G59)+1)</f>
        <v>0</v>
      </c>
      <c r="I59" s="83">
        <f>IF(I53="",0,MAX($E59:H59)+1)</f>
        <v>0</v>
      </c>
      <c r="J59" s="83">
        <f>IF(J53="",0,MAX($E59:I59)+1)</f>
        <v>0</v>
      </c>
      <c r="K59" s="83">
        <f>IF(K53="",0,MAX($E59:J59)+1)</f>
        <v>0</v>
      </c>
      <c r="L59" s="83">
        <f>IF(L53="",0,MAX($E59:K59)+1)</f>
        <v>0</v>
      </c>
      <c r="M59" s="83">
        <f>IF(M53="",0,MAX($E59:L59)+1)</f>
        <v>0</v>
      </c>
      <c r="N59" s="83">
        <f>IF(N53="",0,MAX($E59:M59)+1)</f>
        <v>0</v>
      </c>
      <c r="O59" s="83">
        <f>IF(O53="",0,MAX($E59:N59)+1)</f>
        <v>0</v>
      </c>
      <c r="P59" s="83">
        <f>IF(P53="",0,MAX($E59:O59)+1)</f>
        <v>0</v>
      </c>
      <c r="Q59" s="83">
        <f>IF(Q53="",0,MAX($E59:P59)+1)</f>
        <v>0</v>
      </c>
      <c r="R59" s="83">
        <f>IF(R53="",0,MAX($E59:Q59)+1)</f>
        <v>0</v>
      </c>
      <c r="S59" s="83">
        <f>IF(S53="",0,MAX($E59:R59)+1)</f>
        <v>0</v>
      </c>
      <c r="T59" s="83">
        <f>IF(T53="",0,MAX($E59:S59)+1)</f>
        <v>0</v>
      </c>
      <c r="U59" s="83">
        <f>IF(U53="",0,MAX($E59:T59)+1)</f>
        <v>0</v>
      </c>
      <c r="V59" s="83">
        <f>IF(V53="",0,MAX($E59:U59)+1)</f>
        <v>0</v>
      </c>
      <c r="W59" s="83">
        <f>IF(W53="",0,MAX($E59:V59)+1)</f>
        <v>0</v>
      </c>
      <c r="X59" s="83">
        <f>IF(X53="",0,MAX($E59:W59)+1)</f>
        <v>0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/>
      </c>
      <c r="F60" s="83" t="str">
        <f t="shared" si="2"/>
        <v/>
      </c>
      <c r="G60" s="83" t="str">
        <f t="shared" si="2"/>
        <v/>
      </c>
      <c r="H60" s="83" t="str">
        <f t="shared" si="2"/>
        <v/>
      </c>
      <c r="I60" s="83" t="str">
        <f t="shared" si="2"/>
        <v/>
      </c>
      <c r="J60" s="83" t="str">
        <f t="shared" si="2"/>
        <v/>
      </c>
      <c r="K60" s="83" t="str">
        <f t="shared" si="2"/>
        <v/>
      </c>
      <c r="L60" s="83" t="str">
        <f t="shared" si="2"/>
        <v/>
      </c>
      <c r="M60" s="83" t="str">
        <f t="shared" si="2"/>
        <v/>
      </c>
      <c r="N60" s="83" t="str">
        <f t="shared" si="2"/>
        <v/>
      </c>
      <c r="O60" s="83" t="str">
        <f t="shared" si="2"/>
        <v/>
      </c>
      <c r="P60" s="83" t="str">
        <f t="shared" si="2"/>
        <v/>
      </c>
      <c r="Q60" s="83" t="str">
        <f t="shared" si="2"/>
        <v/>
      </c>
      <c r="R60" s="83" t="str">
        <f t="shared" si="2"/>
        <v/>
      </c>
      <c r="S60" s="83" t="str">
        <f t="shared" si="2"/>
        <v/>
      </c>
      <c r="T60" s="83" t="str">
        <f t="shared" si="2"/>
        <v/>
      </c>
      <c r="U60" s="83" t="str">
        <f t="shared" si="2"/>
        <v/>
      </c>
      <c r="V60" s="83" t="str">
        <f t="shared" si="2"/>
        <v/>
      </c>
      <c r="W60" s="83" t="str">
        <f t="shared" si="2"/>
        <v/>
      </c>
      <c r="X60" s="83" t="str">
        <f t="shared" si="2"/>
        <v/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0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145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46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47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48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49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50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51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AA75"/>
  <sheetViews>
    <sheetView showGridLines="0" tabSelected="1" view="pageBreakPreview" topLeftCell="A19" zoomScale="130" zoomScaleNormal="130" zoomScaleSheetLayoutView="130" workbookViewId="0">
      <selection activeCell="D38" sqref="D38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9"/>
      <c r="V2" s="100"/>
      <c r="W2" s="100"/>
      <c r="X2" s="101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2"/>
      <c r="V3" s="103"/>
      <c r="W3" s="103"/>
      <c r="X3" s="104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2"/>
      <c r="V4" s="103"/>
      <c r="W4" s="103"/>
      <c r="X4" s="104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5"/>
      <c r="V5" s="106"/>
      <c r="W5" s="106"/>
      <c r="X5" s="107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>TCN000UTN0001</v>
      </c>
      <c r="F7" s="23" t="str">
        <f t="shared" ref="F7:X7" si="0">IF(F53="","",$C$62 &amp; $C$61 &amp; $C$60 &amp; F53 &amp; TEXT(F59,"0000" ))</f>
        <v>TCN000UTN0002</v>
      </c>
      <c r="G7" s="23" t="str">
        <f t="shared" si="0"/>
        <v>TCN000UTN0003</v>
      </c>
      <c r="H7" s="23" t="str">
        <f t="shared" si="0"/>
        <v>TCN000UTN0004</v>
      </c>
      <c r="I7" s="23" t="str">
        <f t="shared" si="0"/>
        <v>TCN000UTN0005</v>
      </c>
      <c r="J7" s="23" t="str">
        <f t="shared" si="0"/>
        <v>TCN000UTN0006</v>
      </c>
      <c r="K7" s="23" t="str">
        <f t="shared" si="0"/>
        <v>TCN000UTN0007</v>
      </c>
      <c r="L7" s="23" t="str">
        <f t="shared" si="0"/>
        <v>TCN000UTN0008</v>
      </c>
      <c r="M7" s="23" t="str">
        <f t="shared" si="0"/>
        <v/>
      </c>
      <c r="N7" s="23" t="str">
        <f t="shared" si="0"/>
        <v/>
      </c>
      <c r="O7" s="23" t="str">
        <f t="shared" si="0"/>
        <v/>
      </c>
      <c r="P7" s="23" t="str">
        <f t="shared" si="0"/>
        <v/>
      </c>
      <c r="Q7" s="23" t="str">
        <f t="shared" si="0"/>
        <v/>
      </c>
      <c r="R7" s="23" t="str">
        <f t="shared" si="0"/>
        <v/>
      </c>
      <c r="S7" s="23" t="str">
        <f t="shared" si="0"/>
        <v/>
      </c>
      <c r="T7" s="23" t="str">
        <f t="shared" si="0"/>
        <v/>
      </c>
      <c r="U7" s="23" t="str">
        <f t="shared" si="0"/>
        <v/>
      </c>
      <c r="V7" s="23" t="str">
        <f t="shared" si="0"/>
        <v/>
      </c>
      <c r="W7" s="23" t="str">
        <f t="shared" si="0"/>
        <v/>
      </c>
      <c r="X7" s="24" t="str">
        <f t="shared" si="0"/>
        <v/>
      </c>
    </row>
    <row r="8" spans="1:27" s="6" customFormat="1" ht="11.25" customHeight="1">
      <c r="A8" s="108" t="s">
        <v>23</v>
      </c>
      <c r="B8" s="25" t="s">
        <v>79</v>
      </c>
      <c r="C8" s="26"/>
      <c r="D8" s="27"/>
      <c r="E8" s="28" t="s">
        <v>42</v>
      </c>
      <c r="F8" s="29" t="s">
        <v>42</v>
      </c>
      <c r="G8" s="29" t="s">
        <v>42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42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9"/>
      <c r="B9" s="30" t="s">
        <v>58</v>
      </c>
      <c r="C9" s="31"/>
      <c r="D9" s="32"/>
      <c r="E9" s="33"/>
      <c r="F9" s="33"/>
      <c r="G9" s="33"/>
      <c r="H9" s="88"/>
      <c r="I9" s="88"/>
      <c r="J9" s="33"/>
      <c r="K9" s="88"/>
      <c r="L9" s="88" t="s">
        <v>129</v>
      </c>
      <c r="M9" s="88" t="s">
        <v>129</v>
      </c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9"/>
      <c r="B10" s="30" t="s">
        <v>75</v>
      </c>
      <c r="C10" s="31"/>
      <c r="D10" s="32"/>
      <c r="E10" s="33"/>
      <c r="F10" s="33"/>
      <c r="G10" s="33"/>
      <c r="H10" s="33"/>
      <c r="I10" s="33"/>
      <c r="J10" s="33"/>
      <c r="K10" s="88"/>
      <c r="L10" s="88"/>
      <c r="M10" s="88"/>
      <c r="N10" s="88"/>
      <c r="O10" s="88"/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9"/>
      <c r="B11" s="30" t="s">
        <v>76</v>
      </c>
      <c r="C11" s="31"/>
      <c r="D11" s="32"/>
      <c r="E11" s="88" t="s">
        <v>129</v>
      </c>
      <c r="F11" s="88" t="s">
        <v>129</v>
      </c>
      <c r="G11" s="88" t="s">
        <v>129</v>
      </c>
      <c r="H11" s="88" t="s">
        <v>129</v>
      </c>
      <c r="I11" s="88" t="s">
        <v>129</v>
      </c>
      <c r="J11" s="88" t="s">
        <v>129</v>
      </c>
      <c r="K11" s="88" t="s">
        <v>129</v>
      </c>
      <c r="L11" s="88" t="s">
        <v>129</v>
      </c>
      <c r="M11" s="88" t="s">
        <v>129</v>
      </c>
      <c r="N11" s="88"/>
      <c r="O11" s="88"/>
      <c r="P11" s="33"/>
      <c r="Q11" s="90"/>
      <c r="R11" s="33"/>
      <c r="S11" s="33"/>
      <c r="T11" s="33"/>
      <c r="U11" s="33"/>
      <c r="V11" s="33"/>
      <c r="W11" s="33"/>
      <c r="X11" s="34"/>
    </row>
    <row r="12" spans="1:27" ht="11.25" customHeight="1">
      <c r="A12" s="109"/>
      <c r="B12" s="30" t="s">
        <v>59</v>
      </c>
      <c r="C12" s="31"/>
      <c r="D12" s="32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33"/>
      <c r="Q12" s="90"/>
      <c r="R12" s="33"/>
      <c r="S12" s="33"/>
      <c r="T12" s="33"/>
      <c r="U12" s="33"/>
      <c r="V12" s="88"/>
      <c r="W12" s="33"/>
      <c r="X12" s="34"/>
    </row>
    <row r="13" spans="1:27" ht="11.25" customHeight="1">
      <c r="A13" s="109"/>
      <c r="B13" s="30" t="s">
        <v>60</v>
      </c>
      <c r="C13" s="31"/>
      <c r="D13" s="32"/>
      <c r="E13" s="89"/>
      <c r="F13" s="88"/>
      <c r="G13" s="33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33"/>
      <c r="S13" s="33"/>
      <c r="T13" s="88"/>
      <c r="U13" s="88"/>
      <c r="V13" s="33"/>
      <c r="W13" s="33"/>
      <c r="X13" s="34"/>
    </row>
    <row r="14" spans="1:27" ht="11.25" customHeight="1">
      <c r="A14" s="109"/>
      <c r="B14" s="30" t="s">
        <v>61</v>
      </c>
      <c r="C14" s="31"/>
      <c r="D14" s="32"/>
      <c r="E14" s="88"/>
      <c r="F14" s="88"/>
      <c r="G14" s="33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33"/>
      <c r="U14" s="88"/>
      <c r="V14" s="88"/>
      <c r="W14" s="88"/>
      <c r="X14" s="88"/>
    </row>
    <row r="15" spans="1:27" ht="11.25" customHeight="1">
      <c r="A15" s="109"/>
      <c r="B15" s="30" t="s">
        <v>62</v>
      </c>
      <c r="C15" s="31"/>
      <c r="D15" s="32"/>
      <c r="E15" s="88"/>
      <c r="F15" s="88"/>
      <c r="G15" s="33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33"/>
      <c r="T15" s="88"/>
      <c r="U15" s="88"/>
      <c r="V15" s="88"/>
      <c r="W15" s="88"/>
      <c r="X15" s="88"/>
    </row>
    <row r="16" spans="1:27" ht="11.25" customHeight="1">
      <c r="A16" s="109"/>
      <c r="B16" s="30" t="s">
        <v>63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33"/>
      <c r="S16" s="88"/>
      <c r="T16" s="88"/>
      <c r="U16" s="88"/>
      <c r="V16" s="33"/>
      <c r="W16" s="33"/>
      <c r="X16" s="34"/>
    </row>
    <row r="17" spans="1:24" ht="11.25" customHeight="1">
      <c r="A17" s="109"/>
      <c r="B17" s="30" t="s">
        <v>64</v>
      </c>
      <c r="C17" s="31"/>
      <c r="D17" s="32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33"/>
      <c r="T17" s="88"/>
      <c r="U17" s="88"/>
      <c r="V17" s="33"/>
      <c r="W17" s="33"/>
      <c r="X17" s="34"/>
    </row>
    <row r="18" spans="1:24" ht="11.25" customHeight="1">
      <c r="A18" s="109"/>
      <c r="B18" s="30" t="s">
        <v>65</v>
      </c>
      <c r="C18" s="31"/>
      <c r="D18" s="32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33"/>
      <c r="R18" s="88"/>
      <c r="S18" s="88"/>
      <c r="T18" s="88"/>
      <c r="U18" s="33"/>
      <c r="V18" s="33"/>
      <c r="W18" s="33"/>
      <c r="X18" s="34"/>
    </row>
    <row r="19" spans="1:24" ht="11.25" customHeight="1">
      <c r="A19" s="109"/>
      <c r="B19" s="30" t="s">
        <v>66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88"/>
      <c r="P19" s="88"/>
      <c r="Q19" s="33"/>
      <c r="R19" s="33"/>
      <c r="S19" s="88"/>
      <c r="T19" s="88"/>
      <c r="U19" s="33"/>
      <c r="V19" s="33"/>
      <c r="W19" s="33"/>
      <c r="X19" s="34"/>
    </row>
    <row r="20" spans="1:24" ht="11.25" customHeight="1">
      <c r="A20" s="109"/>
      <c r="B20" s="30" t="s">
        <v>53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9"/>
      <c r="B21" s="30" t="s">
        <v>54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9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9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9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9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9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9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9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9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10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8" t="s">
        <v>24</v>
      </c>
      <c r="B31" s="25" t="s">
        <v>107</v>
      </c>
      <c r="C31" s="26"/>
      <c r="D31" s="27"/>
      <c r="E31" s="88" t="s">
        <v>129</v>
      </c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9"/>
      <c r="B32" s="30" t="s">
        <v>113</v>
      </c>
      <c r="C32" s="31"/>
      <c r="D32" s="32"/>
      <c r="E32" s="89"/>
      <c r="F32" s="88" t="s">
        <v>129</v>
      </c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9"/>
      <c r="B33" s="30" t="s">
        <v>108</v>
      </c>
      <c r="C33" s="31"/>
      <c r="D33" s="32"/>
      <c r="E33" s="89"/>
      <c r="F33" s="88"/>
      <c r="G33" s="88" t="s">
        <v>129</v>
      </c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9"/>
      <c r="B34" s="30" t="s">
        <v>114</v>
      </c>
      <c r="C34" s="31"/>
      <c r="D34" s="32"/>
      <c r="E34" s="89"/>
      <c r="F34" s="88"/>
      <c r="G34" s="88"/>
      <c r="H34" s="88" t="s">
        <v>129</v>
      </c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9"/>
      <c r="B35" s="30" t="s">
        <v>109</v>
      </c>
      <c r="C35" s="31"/>
      <c r="D35" s="32"/>
      <c r="E35" s="89"/>
      <c r="F35" s="88"/>
      <c r="G35" s="88"/>
      <c r="H35" s="88"/>
      <c r="I35" s="88" t="s">
        <v>129</v>
      </c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9"/>
      <c r="B36" s="30" t="s">
        <v>115</v>
      </c>
      <c r="C36" s="31"/>
      <c r="D36" s="32"/>
      <c r="E36" s="89"/>
      <c r="F36" s="88"/>
      <c r="G36" s="88"/>
      <c r="H36" s="88"/>
      <c r="I36" s="88"/>
      <c r="J36" s="88" t="s">
        <v>129</v>
      </c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9"/>
      <c r="B37" s="30" t="s">
        <v>110</v>
      </c>
      <c r="C37" s="31"/>
      <c r="D37" s="32"/>
      <c r="E37" s="89"/>
      <c r="F37" s="88"/>
      <c r="G37" s="88"/>
      <c r="H37" s="88"/>
      <c r="I37" s="88"/>
      <c r="J37" s="33"/>
      <c r="K37" s="88" t="s">
        <v>129</v>
      </c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9"/>
      <c r="B38" s="30" t="s">
        <v>116</v>
      </c>
      <c r="C38" s="31"/>
      <c r="D38" s="32"/>
      <c r="E38" s="89"/>
      <c r="F38" s="88"/>
      <c r="G38" s="88"/>
      <c r="H38" s="88"/>
      <c r="I38" s="88"/>
      <c r="J38" s="33"/>
      <c r="K38" s="33"/>
      <c r="L38" s="88" t="s">
        <v>129</v>
      </c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9"/>
      <c r="B39" s="30" t="s">
        <v>112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/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9"/>
      <c r="B40" s="30" t="s">
        <v>117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/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9"/>
      <c r="B41" s="30" t="s">
        <v>118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/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9"/>
      <c r="B42" s="30" t="s">
        <v>119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/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9"/>
      <c r="B43" s="30" t="s">
        <v>120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/>
      <c r="R43" s="33"/>
      <c r="S43" s="33"/>
      <c r="T43" s="33"/>
      <c r="U43" s="33"/>
      <c r="V43" s="33"/>
      <c r="W43" s="33"/>
      <c r="X43" s="34"/>
    </row>
    <row r="44" spans="1:24" ht="11.25" customHeight="1">
      <c r="A44" s="109"/>
      <c r="B44" s="30" t="s">
        <v>121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/>
      <c r="S44" s="33"/>
      <c r="T44" s="33"/>
      <c r="U44" s="33"/>
      <c r="V44" s="33"/>
      <c r="W44" s="33"/>
      <c r="X44" s="34"/>
    </row>
    <row r="45" spans="1:24" ht="11.25" customHeight="1">
      <c r="A45" s="109"/>
      <c r="B45" s="30" t="s">
        <v>122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/>
      <c r="T45" s="88"/>
      <c r="U45" s="88"/>
      <c r="V45" s="33"/>
      <c r="W45" s="33"/>
      <c r="X45" s="33"/>
    </row>
    <row r="46" spans="1:24" ht="11.25" customHeight="1">
      <c r="A46" s="109"/>
      <c r="B46" s="30" t="s">
        <v>123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/>
      <c r="U46" s="88"/>
      <c r="V46" s="33"/>
      <c r="W46" s="33"/>
      <c r="X46" s="33"/>
    </row>
    <row r="47" spans="1:24" ht="11.25" customHeight="1">
      <c r="A47" s="109"/>
      <c r="B47" s="30" t="s">
        <v>124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/>
      <c r="V47" s="33"/>
      <c r="W47" s="33"/>
      <c r="X47" s="33"/>
    </row>
    <row r="48" spans="1:24" ht="11.25" customHeight="1">
      <c r="A48" s="109"/>
      <c r="B48" s="30" t="s">
        <v>125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/>
      <c r="W48" s="33"/>
      <c r="X48" s="33"/>
    </row>
    <row r="49" spans="1:24" ht="11.25" customHeight="1">
      <c r="A49" s="109"/>
      <c r="B49" s="30" t="s">
        <v>126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/>
      <c r="X49" s="33"/>
    </row>
    <row r="50" spans="1:24" ht="11.25" customHeight="1">
      <c r="A50" s="109"/>
      <c r="B50" s="30" t="s">
        <v>127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/>
    </row>
    <row r="51" spans="1:24" ht="11.25" customHeight="1" thickBot="1">
      <c r="A51" s="110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7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>N</v>
      </c>
      <c r="F53" s="50" t="str">
        <f t="shared" si="1"/>
        <v>N</v>
      </c>
      <c r="G53" s="50" t="str">
        <f t="shared" si="1"/>
        <v>N</v>
      </c>
      <c r="H53" s="50" t="str">
        <f t="shared" si="1"/>
        <v>N</v>
      </c>
      <c r="I53" s="50" t="str">
        <f t="shared" si="1"/>
        <v>N</v>
      </c>
      <c r="J53" s="50" t="str">
        <f t="shared" si="1"/>
        <v>N</v>
      </c>
      <c r="K53" s="50" t="str">
        <f t="shared" si="1"/>
        <v>N</v>
      </c>
      <c r="L53" s="50" t="str">
        <f t="shared" si="1"/>
        <v>N</v>
      </c>
      <c r="M53" s="50" t="str">
        <f t="shared" si="1"/>
        <v/>
      </c>
      <c r="N53" s="50" t="str">
        <f t="shared" si="1"/>
        <v/>
      </c>
      <c r="O53" s="50" t="str">
        <f t="shared" si="1"/>
        <v/>
      </c>
      <c r="P53" s="50" t="str">
        <f t="shared" si="1"/>
        <v/>
      </c>
      <c r="Q53" s="50" t="str">
        <f t="shared" si="1"/>
        <v/>
      </c>
      <c r="R53" s="50" t="str">
        <f t="shared" si="1"/>
        <v/>
      </c>
      <c r="S53" s="50" t="str">
        <f t="shared" si="1"/>
        <v/>
      </c>
      <c r="T53" s="50" t="str">
        <f t="shared" si="1"/>
        <v/>
      </c>
      <c r="U53" s="50" t="str">
        <f t="shared" si="1"/>
        <v/>
      </c>
      <c r="V53" s="50" t="str">
        <f t="shared" si="1"/>
        <v/>
      </c>
      <c r="W53" s="50" t="str">
        <f t="shared" si="1"/>
        <v/>
      </c>
      <c r="X53" s="50" t="str">
        <f t="shared" si="1"/>
        <v/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8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29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1</v>
      </c>
      <c r="F59" s="83">
        <f>IF(F53="",0,MAX($E59:E59)+1)</f>
        <v>2</v>
      </c>
      <c r="G59" s="83">
        <f>IF(G53="",0,MAX($E59:F59)+1)</f>
        <v>3</v>
      </c>
      <c r="H59" s="83">
        <f>IF(H53="",0,MAX($E59:G59)+1)</f>
        <v>4</v>
      </c>
      <c r="I59" s="83">
        <f>IF(I53="",0,MAX($E59:H59)+1)</f>
        <v>5</v>
      </c>
      <c r="J59" s="83">
        <f>IF(J53="",0,MAX($E59:I59)+1)</f>
        <v>6</v>
      </c>
      <c r="K59" s="83">
        <f>IF(K53="",0,MAX($E59:J59)+1)</f>
        <v>7</v>
      </c>
      <c r="L59" s="83">
        <f>IF(L53="",0,MAX($E59:K59)+1)</f>
        <v>8</v>
      </c>
      <c r="M59" s="83">
        <f>IF(M53="",0,MAX($E59:L59)+1)</f>
        <v>0</v>
      </c>
      <c r="N59" s="83">
        <f>IF(N53="",0,MAX($E59:M59)+1)</f>
        <v>0</v>
      </c>
      <c r="O59" s="83">
        <f>IF(O53="",0,MAX($E59:N59)+1)</f>
        <v>0</v>
      </c>
      <c r="P59" s="83">
        <f>IF(P53="",0,MAX($E59:O59)+1)</f>
        <v>0</v>
      </c>
      <c r="Q59" s="83">
        <f>IF(Q53="",0,MAX($E59:P59)+1)</f>
        <v>0</v>
      </c>
      <c r="R59" s="83">
        <f>IF(R53="",0,MAX($E59:Q59)+1)</f>
        <v>0</v>
      </c>
      <c r="S59" s="83">
        <f>IF(S53="",0,MAX($E59:R59)+1)</f>
        <v>0</v>
      </c>
      <c r="T59" s="83">
        <f>IF(T53="",0,MAX($E59:S59)+1)</f>
        <v>0</v>
      </c>
      <c r="U59" s="83">
        <f>IF(U53="",0,MAX($E59:T59)+1)</f>
        <v>0</v>
      </c>
      <c r="V59" s="83">
        <f>IF(V53="",0,MAX($E59:U59)+1)</f>
        <v>0</v>
      </c>
      <c r="W59" s="83">
        <f>IF(W53="",0,MAX($E59:V59)+1)</f>
        <v>0</v>
      </c>
      <c r="X59" s="83">
        <f>IF(X53="",0,MAX($E59:W59)+1)</f>
        <v>0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>N</v>
      </c>
      <c r="F60" s="83" t="str">
        <f t="shared" si="2"/>
        <v>N</v>
      </c>
      <c r="G60" s="83" t="str">
        <f t="shared" si="2"/>
        <v>N</v>
      </c>
      <c r="H60" s="83" t="str">
        <f t="shared" si="2"/>
        <v>N</v>
      </c>
      <c r="I60" s="83" t="str">
        <f t="shared" si="2"/>
        <v>N</v>
      </c>
      <c r="J60" s="83" t="str">
        <f t="shared" si="2"/>
        <v>N</v>
      </c>
      <c r="K60" s="83" t="str">
        <f t="shared" si="2"/>
        <v>N</v>
      </c>
      <c r="L60" s="83" t="str">
        <f t="shared" si="2"/>
        <v>N</v>
      </c>
      <c r="M60" s="83" t="str">
        <f t="shared" si="2"/>
        <v/>
      </c>
      <c r="N60" s="83" t="str">
        <f t="shared" si="2"/>
        <v/>
      </c>
      <c r="O60" s="83" t="str">
        <f t="shared" si="2"/>
        <v/>
      </c>
      <c r="P60" s="83" t="str">
        <f t="shared" si="2"/>
        <v/>
      </c>
      <c r="Q60" s="83" t="str">
        <f t="shared" si="2"/>
        <v/>
      </c>
      <c r="R60" s="83" t="str">
        <f t="shared" si="2"/>
        <v/>
      </c>
      <c r="S60" s="83" t="str">
        <f t="shared" si="2"/>
        <v/>
      </c>
      <c r="T60" s="83" t="str">
        <f t="shared" si="2"/>
        <v/>
      </c>
      <c r="U60" s="83" t="str">
        <f t="shared" si="2"/>
        <v/>
      </c>
      <c r="V60" s="83" t="str">
        <f t="shared" si="2"/>
        <v/>
      </c>
      <c r="W60" s="83" t="str">
        <f t="shared" si="2"/>
        <v/>
      </c>
      <c r="X60" s="83" t="str">
        <f t="shared" si="2"/>
        <v/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8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121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2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3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4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5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6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7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TCN_保存提交_001</vt:lpstr>
      <vt:lpstr>TCN_保存提交_002</vt:lpstr>
      <vt:lpstr>TCN_保存提交_003</vt:lpstr>
      <vt:lpstr>TCN_删除_004</vt:lpstr>
      <vt:lpstr>TCN_保存提交_001!Print_Area</vt:lpstr>
      <vt:lpstr>TCN_保存提交_002!Print_Area</vt:lpstr>
      <vt:lpstr>TCN_保存提交_003!Print_Area</vt:lpstr>
      <vt:lpstr>TCN_删除_004!Print_Area</vt:lpstr>
    </vt:vector>
  </TitlesOfParts>
  <Company>iVision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YuYang</dc:creator>
  <cp:lastModifiedBy>zhangjia</cp:lastModifiedBy>
  <cp:lastPrinted>2006-07-29T07:06:57Z</cp:lastPrinted>
  <dcterms:created xsi:type="dcterms:W3CDTF">2000-01-12T07:37:42Z</dcterms:created>
  <dcterms:modified xsi:type="dcterms:W3CDTF">2014-08-21T09:18:52Z</dcterms:modified>
</cp:coreProperties>
</file>