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505" yWindow="750" windowWidth="14835" windowHeight="9480" tabRatio="922" activeTab="2"/>
  </bookViews>
  <sheets>
    <sheet name="TCN_保存提交_001" sheetId="153" r:id="rId1"/>
    <sheet name="TCN_保存提交_002" sheetId="155" r:id="rId2"/>
    <sheet name="TCN_删除_003" sheetId="156" r:id="rId3"/>
  </sheets>
  <functionGroups builtInGroupCount="17"/>
  <definedNames>
    <definedName name="_xlnm.Print_Area" localSheetId="0">TCN_保存提交_001!$A$1:$X$58</definedName>
    <definedName name="_xlnm.Print_Area" localSheetId="1">TCN_保存提交_002!$A$1:$X$58</definedName>
    <definedName name="_xlnm.Print_Area" localSheetId="2">TCN_删除_003!$A$1:$X$58</definedName>
  </definedNames>
  <calcPr calcId="145621"/>
</workbook>
</file>

<file path=xl/calcChain.xml><?xml version="1.0" encoding="utf-8"?>
<calcChain xmlns="http://schemas.openxmlformats.org/spreadsheetml/2006/main">
  <c r="X53" i="156" l="1"/>
  <c r="X60" i="156" s="1"/>
  <c r="W53" i="156"/>
  <c r="W60" i="156" s="1"/>
  <c r="V53" i="156"/>
  <c r="V60" i="156" s="1"/>
  <c r="U53" i="156"/>
  <c r="U60" i="156" s="1"/>
  <c r="T53" i="156"/>
  <c r="T60" i="156" s="1"/>
  <c r="S53" i="156"/>
  <c r="S60" i="156" s="1"/>
  <c r="R53" i="156"/>
  <c r="R60" i="156" s="1"/>
  <c r="Q53" i="156"/>
  <c r="Q60" i="156" s="1"/>
  <c r="P53" i="156"/>
  <c r="P60" i="156" s="1"/>
  <c r="O53" i="156"/>
  <c r="O60" i="156" s="1"/>
  <c r="N53" i="156"/>
  <c r="N60" i="156" s="1"/>
  <c r="M53" i="156"/>
  <c r="M60" i="156" s="1"/>
  <c r="L53" i="156"/>
  <c r="L60" i="156" s="1"/>
  <c r="K53" i="156"/>
  <c r="K60" i="156" s="1"/>
  <c r="J53" i="156"/>
  <c r="J60" i="156" s="1"/>
  <c r="I53" i="156"/>
  <c r="I60" i="156" s="1"/>
  <c r="H53" i="156"/>
  <c r="H60" i="156" s="1"/>
  <c r="G53" i="156"/>
  <c r="G60" i="156" s="1"/>
  <c r="F53" i="156"/>
  <c r="F60" i="156" s="1"/>
  <c r="E53" i="156"/>
  <c r="E60" i="156" s="1"/>
  <c r="E64" i="156"/>
  <c r="E63" i="156"/>
  <c r="E62" i="156"/>
  <c r="E61" i="156"/>
  <c r="X53" i="155" l="1"/>
  <c r="X60" i="155" s="1"/>
  <c r="W53" i="155"/>
  <c r="W60" i="155" s="1"/>
  <c r="V53" i="155"/>
  <c r="V60" i="155" s="1"/>
  <c r="U53" i="155"/>
  <c r="U60" i="155" s="1"/>
  <c r="T53" i="155"/>
  <c r="T60" i="155" s="1"/>
  <c r="S53" i="155"/>
  <c r="S60" i="155" s="1"/>
  <c r="R53" i="155"/>
  <c r="R60" i="155" s="1"/>
  <c r="Q53" i="155"/>
  <c r="Q60" i="155" s="1"/>
  <c r="P53" i="155"/>
  <c r="P60" i="155" s="1"/>
  <c r="O53" i="155"/>
  <c r="O60" i="155" s="1"/>
  <c r="N53" i="155"/>
  <c r="N60" i="155" s="1"/>
  <c r="M53" i="155"/>
  <c r="M60" i="155" s="1"/>
  <c r="L53" i="155"/>
  <c r="L60" i="155" s="1"/>
  <c r="K53" i="155"/>
  <c r="K60" i="155" s="1"/>
  <c r="J53" i="155"/>
  <c r="J60" i="155" s="1"/>
  <c r="I53" i="155"/>
  <c r="I60" i="155" s="1"/>
  <c r="H53" i="155"/>
  <c r="H60" i="155" s="1"/>
  <c r="G53" i="155"/>
  <c r="G60" i="155" s="1"/>
  <c r="F53" i="155"/>
  <c r="F60" i="155" s="1"/>
  <c r="E53" i="155"/>
  <c r="E60" i="155" s="1"/>
  <c r="E61" i="155"/>
  <c r="E64" i="155"/>
  <c r="E59" i="156"/>
  <c r="E63" i="155"/>
  <c r="E62" i="155"/>
  <c r="E7" i="156" l="1"/>
  <c r="F59" i="156"/>
  <c r="F7" i="156" s="1"/>
  <c r="X53" i="153"/>
  <c r="X60" i="153" s="1"/>
  <c r="W53" i="153"/>
  <c r="W60" i="153" s="1"/>
  <c r="V53" i="153"/>
  <c r="V60" i="153" s="1"/>
  <c r="U53" i="153"/>
  <c r="U60" i="153" s="1"/>
  <c r="T53" i="153"/>
  <c r="T60" i="153" s="1"/>
  <c r="S53" i="153"/>
  <c r="S60" i="153" s="1"/>
  <c r="R53" i="153"/>
  <c r="R60" i="153" s="1"/>
  <c r="Q53" i="153"/>
  <c r="Q60" i="153" s="1"/>
  <c r="P53" i="153"/>
  <c r="P60" i="153" s="1"/>
  <c r="O53" i="153"/>
  <c r="O60" i="153" s="1"/>
  <c r="N53" i="153"/>
  <c r="N60" i="153" s="1"/>
  <c r="M53" i="153"/>
  <c r="M60" i="153" s="1"/>
  <c r="L53" i="153"/>
  <c r="L60" i="153" s="1"/>
  <c r="K53" i="153"/>
  <c r="K60" i="153" s="1"/>
  <c r="J53" i="153"/>
  <c r="J60" i="153" s="1"/>
  <c r="I53" i="153"/>
  <c r="I60" i="153" s="1"/>
  <c r="H53" i="153"/>
  <c r="H60" i="153" s="1"/>
  <c r="G53" i="153"/>
  <c r="G60" i="153" s="1"/>
  <c r="F53" i="153"/>
  <c r="F60" i="153" s="1"/>
  <c r="E53" i="153"/>
  <c r="E60" i="153" s="1"/>
  <c r="E61" i="153"/>
  <c r="E59" i="155"/>
  <c r="E64" i="153"/>
  <c r="E59" i="153"/>
  <c r="E63" i="153"/>
  <c r="E62" i="153"/>
  <c r="G59" i="156" l="1"/>
  <c r="E7" i="155"/>
  <c r="F59" i="155"/>
  <c r="F7" i="155" s="1"/>
  <c r="E7" i="153"/>
  <c r="F59" i="153"/>
  <c r="F7" i="153" s="1"/>
  <c r="G7" i="156" l="1"/>
  <c r="H59" i="156"/>
  <c r="G59" i="155"/>
  <c r="H59" i="155" s="1"/>
  <c r="G59" i="153"/>
  <c r="H7" i="156" l="1"/>
  <c r="I59" i="156"/>
  <c r="H7" i="155"/>
  <c r="G7" i="155"/>
  <c r="I59" i="155"/>
  <c r="I7" i="155" s="1"/>
  <c r="G7" i="153"/>
  <c r="H59" i="153"/>
  <c r="I7" i="156" l="1"/>
  <c r="J59" i="156"/>
  <c r="J59" i="155"/>
  <c r="J7" i="155" s="1"/>
  <c r="H7" i="153"/>
  <c r="I59" i="153"/>
  <c r="J59" i="153" s="1"/>
  <c r="J7" i="153" s="1"/>
  <c r="J7" i="156" l="1"/>
  <c r="K59" i="156"/>
  <c r="L59" i="156" s="1"/>
  <c r="K59" i="155"/>
  <c r="K7" i="155" s="1"/>
  <c r="K59" i="153"/>
  <c r="K7" i="153" s="1"/>
  <c r="I7" i="153"/>
  <c r="L7" i="156" l="1"/>
  <c r="M59" i="156"/>
  <c r="K7" i="156"/>
  <c r="L59" i="155"/>
  <c r="L7" i="155" s="1"/>
  <c r="L59" i="153"/>
  <c r="L7" i="153" s="1"/>
  <c r="M7" i="156" l="1"/>
  <c r="N59" i="156"/>
  <c r="M59" i="155"/>
  <c r="M7" i="155" s="1"/>
  <c r="M59" i="153"/>
  <c r="M7" i="153" s="1"/>
  <c r="N7" i="156" l="1"/>
  <c r="O59" i="156"/>
  <c r="N59" i="155"/>
  <c r="N7" i="155" s="1"/>
  <c r="N59" i="153"/>
  <c r="N7" i="153" s="1"/>
  <c r="O7" i="156" l="1"/>
  <c r="P59" i="156"/>
  <c r="O59" i="155"/>
  <c r="O7" i="155" s="1"/>
  <c r="O59" i="153"/>
  <c r="O7" i="153" s="1"/>
  <c r="P7" i="156" l="1"/>
  <c r="Q59" i="156"/>
  <c r="P59" i="155"/>
  <c r="P7" i="155" s="1"/>
  <c r="P59" i="153"/>
  <c r="Q59" i="153" s="1"/>
  <c r="Q7" i="156" l="1"/>
  <c r="R59" i="156"/>
  <c r="Q59" i="155"/>
  <c r="Q7" i="155" s="1"/>
  <c r="P7" i="153"/>
  <c r="Q7" i="153"/>
  <c r="R59" i="153"/>
  <c r="R7" i="156" l="1"/>
  <c r="S59" i="156"/>
  <c r="R59" i="155"/>
  <c r="R7" i="155" s="1"/>
  <c r="R7" i="153"/>
  <c r="S59" i="153"/>
  <c r="S7" i="156" l="1"/>
  <c r="T59" i="156"/>
  <c r="S59" i="155"/>
  <c r="S7" i="155" s="1"/>
  <c r="S7" i="153"/>
  <c r="T59" i="153"/>
  <c r="T7" i="156" l="1"/>
  <c r="U59" i="156"/>
  <c r="T59" i="155"/>
  <c r="T7" i="155" s="1"/>
  <c r="T7" i="153"/>
  <c r="U59" i="153"/>
  <c r="U7" i="156" l="1"/>
  <c r="V59" i="156"/>
  <c r="U59" i="155"/>
  <c r="U7" i="155" s="1"/>
  <c r="U7" i="153"/>
  <c r="V59" i="153"/>
  <c r="V7" i="156" l="1"/>
  <c r="W59" i="156"/>
  <c r="V59" i="155"/>
  <c r="V7" i="155" s="1"/>
  <c r="V7" i="153"/>
  <c r="W59" i="153"/>
  <c r="W7" i="156" l="1"/>
  <c r="X59" i="156"/>
  <c r="X7" i="156" s="1"/>
  <c r="W59" i="155"/>
  <c r="W7" i="155" s="1"/>
  <c r="W7" i="153"/>
  <c r="X59" i="153"/>
  <c r="X7" i="153" s="1"/>
  <c r="X59" i="155" l="1"/>
  <c r="X7" i="155" s="1"/>
</calcChain>
</file>

<file path=xl/sharedStrings.xml><?xml version="1.0" encoding="utf-8"?>
<sst xmlns="http://schemas.openxmlformats.org/spreadsheetml/2006/main" count="439" uniqueCount="143">
  <si>
    <t>作  成</t>
  </si>
  <si>
    <t>正常件数</t>
    <rPh sb="0" eb="2">
      <t>セイジョウ</t>
    </rPh>
    <rPh sb="2" eb="4">
      <t>ケンスウ</t>
    </rPh>
    <phoneticPr fontId="2"/>
  </si>
  <si>
    <t>異常件数</t>
    <rPh sb="0" eb="2">
      <t>イジョウ</t>
    </rPh>
    <rPh sb="2" eb="4">
      <t>ケンスウ</t>
    </rPh>
    <phoneticPr fontId="2"/>
  </si>
  <si>
    <t>境界件数</t>
    <rPh sb="0" eb="2">
      <t>キョウカイ</t>
    </rPh>
    <rPh sb="2" eb="4">
      <t>ケンスウ</t>
    </rPh>
    <phoneticPr fontId="2"/>
  </si>
  <si>
    <t>テスト工程</t>
    <rPh sb="3" eb="5">
      <t>コウテイ</t>
    </rPh>
    <phoneticPr fontId="2"/>
  </si>
  <si>
    <t>状態</t>
    <rPh sb="0" eb="2">
      <t>ジョウタイ</t>
    </rPh>
    <phoneticPr fontId="2"/>
  </si>
  <si>
    <t>ヘッダ文字</t>
    <rPh sb="3" eb="5">
      <t>モジ</t>
    </rPh>
    <phoneticPr fontId="2"/>
  </si>
  <si>
    <t>IF件数</t>
    <rPh sb="2" eb="4">
      <t>ケンスウ</t>
    </rPh>
    <phoneticPr fontId="2"/>
  </si>
  <si>
    <t>○ ○</t>
    <phoneticPr fontId="2"/>
  </si>
  <si>
    <t>000</t>
    <phoneticPr fontId="2"/>
  </si>
  <si>
    <t>CL-ID番号</t>
    <rPh sb="0" eb="7">
      <t>バンゴウ</t>
    </rPh>
    <phoneticPr fontId="2"/>
  </si>
  <si>
    <t>P.1</t>
    <phoneticPr fontId="2"/>
  </si>
  <si>
    <t>CLシート名</t>
    <rPh sb="0" eb="6">
      <t>メイ</t>
    </rPh>
    <phoneticPr fontId="2"/>
  </si>
  <si>
    <t>C</t>
  </si>
  <si>
    <t>L</t>
  </si>
  <si>
    <t>情</t>
  </si>
  <si>
    <t>報</t>
  </si>
  <si>
    <t>FrontSystem on GBS for TCN</t>
    <phoneticPr fontId="2"/>
  </si>
  <si>
    <t>FunctionID</t>
    <phoneticPr fontId="2"/>
  </si>
  <si>
    <t>Unit Check List</t>
    <phoneticPr fontId="2"/>
  </si>
  <si>
    <t>Title</t>
    <phoneticPr fontId="2"/>
  </si>
  <si>
    <t>检查条件/确认内容</t>
    <phoneticPr fontId="2"/>
  </si>
  <si>
    <r>
      <rPr>
        <sz val="9"/>
        <rFont val="ＭＳ Ｐゴシック"/>
        <family val="2"/>
        <charset val="128"/>
      </rPr>
      <t>ﾁｪｯｸ</t>
    </r>
    <r>
      <rPr>
        <sz val="9"/>
        <rFont val="华文细黑"/>
        <family val="3"/>
        <charset val="134"/>
      </rPr>
      <t>ID</t>
    </r>
  </si>
  <si>
    <t>检查条件</t>
    <phoneticPr fontId="2"/>
  </si>
  <si>
    <t>确认内容</t>
    <phoneticPr fontId="2"/>
  </si>
  <si>
    <t>测试名称</t>
    <phoneticPr fontId="2"/>
  </si>
  <si>
    <t>模块名称</t>
    <phoneticPr fontId="2"/>
  </si>
  <si>
    <t>RFC管理号码</t>
    <phoneticPr fontId="2"/>
  </si>
  <si>
    <t>确认</t>
    <phoneticPr fontId="2"/>
  </si>
  <si>
    <t>确认人            REVIEW人</t>
    <phoneticPr fontId="2"/>
  </si>
  <si>
    <t>备注</t>
    <phoneticPr fontId="2"/>
  </si>
  <si>
    <t>测试式样书号</t>
    <phoneticPr fontId="2"/>
  </si>
  <si>
    <t>正常/异常
范围/接口</t>
    <phoneticPr fontId="2"/>
  </si>
  <si>
    <t>确认日</t>
    <phoneticPr fontId="2"/>
  </si>
  <si>
    <t>Review日</t>
    <phoneticPr fontId="2"/>
  </si>
  <si>
    <t>N:正常, E:异常, L:范围, I:接口</t>
    <phoneticPr fontId="2"/>
  </si>
  <si>
    <t>UT</t>
    <phoneticPr fontId="2"/>
  </si>
  <si>
    <t>TCN</t>
    <phoneticPr fontId="2"/>
  </si>
  <si>
    <t>IV_CL</t>
    <phoneticPr fontId="2"/>
  </si>
  <si>
    <t>审批</t>
    <phoneticPr fontId="2"/>
  </si>
  <si>
    <t>审查</t>
    <phoneticPr fontId="2"/>
  </si>
  <si>
    <r>
      <rPr>
        <sz val="9"/>
        <rFont val="ＭＳ Ｐゴシック"/>
        <family val="2"/>
        <charset val="128"/>
      </rPr>
      <t>ﾌﾟﾛｸﾞﾗﾑﾀｲﾌﾟ</t>
    </r>
    <phoneticPr fontId="2"/>
  </si>
  <si>
    <t>○</t>
    <phoneticPr fontId="8" type="noConversion"/>
  </si>
  <si>
    <t>总计：60</t>
    <phoneticPr fontId="8" type="noConversion"/>
  </si>
  <si>
    <t xml:space="preserve">    15)</t>
  </si>
  <si>
    <t xml:space="preserve">    16)</t>
  </si>
  <si>
    <t xml:space="preserve">    17)</t>
  </si>
  <si>
    <t xml:space="preserve">    18)</t>
  </si>
  <si>
    <t xml:space="preserve">    19)</t>
  </si>
  <si>
    <t xml:space="preserve">    20)</t>
  </si>
  <si>
    <t>○</t>
    <phoneticPr fontId="8" type="noConversion"/>
  </si>
  <si>
    <t xml:space="preserve">    14)</t>
    <phoneticPr fontId="8" type="noConversion"/>
  </si>
  <si>
    <t xml:space="preserve">    1)用户ID</t>
    <phoneticPr fontId="8" type="noConversion"/>
  </si>
  <si>
    <t xml:space="preserve">    2)合计休息天数</t>
    <phoneticPr fontId="8" type="noConversion"/>
  </si>
  <si>
    <t xml:space="preserve">    3)备注</t>
    <phoneticPr fontId="8" type="noConversion"/>
  </si>
  <si>
    <t xml:space="preserve">    4)明细行，从0开始</t>
    <phoneticPr fontId="8" type="noConversion"/>
  </si>
  <si>
    <t xml:space="preserve">    6)开始时间</t>
    <phoneticPr fontId="8" type="noConversion"/>
  </si>
  <si>
    <t xml:space="preserve">    7)结束时间</t>
    <phoneticPr fontId="8" type="noConversion"/>
  </si>
  <si>
    <t xml:space="preserve">    8)合计小时</t>
    <phoneticPr fontId="8" type="noConversion"/>
  </si>
  <si>
    <t xml:space="preserve">    9)休假类型</t>
    <phoneticPr fontId="8" type="noConversion"/>
  </si>
  <si>
    <t xml:space="preserve">    10)拆分行号</t>
    <phoneticPr fontId="8" type="noConversion"/>
  </si>
  <si>
    <t xml:space="preserve">    12)</t>
    <phoneticPr fontId="8" type="noConversion"/>
  </si>
  <si>
    <t xml:space="preserve">    13)</t>
    <phoneticPr fontId="8" type="noConversion"/>
  </si>
  <si>
    <t xml:space="preserve">    11)明细合计行数</t>
    <phoneticPr fontId="8" type="noConversion"/>
  </si>
  <si>
    <t>○</t>
  </si>
  <si>
    <t>○</t>
    <phoneticPr fontId="8" type="noConversion"/>
  </si>
  <si>
    <t xml:space="preserve">    5)申请休息日</t>
    <phoneticPr fontId="8" type="noConversion"/>
  </si>
  <si>
    <t>1-1-4)申请休息日为空</t>
    <phoneticPr fontId="8" type="noConversion"/>
  </si>
  <si>
    <t>1-1-6)休假种类=1 且 合计休息天数&gt;有薪假剩余天数</t>
    <phoneticPr fontId="8" type="noConversion"/>
  </si>
  <si>
    <t>1-1）休假申请字段（确认下面休假申请提交的字段）</t>
    <phoneticPr fontId="8" type="noConversion"/>
  </si>
  <si>
    <t>1-1-17)结束时间格式为：hhmm</t>
    <phoneticPr fontId="8" type="noConversion"/>
  </si>
  <si>
    <t>1-1-16)结束时间格式不为：hhmm</t>
    <phoneticPr fontId="8" type="noConversion"/>
  </si>
  <si>
    <t>1-1-15)开始时间格式为：hhmm</t>
    <phoneticPr fontId="8" type="noConversion"/>
  </si>
  <si>
    <t>1-1-14)开始时间格式不为：hhmm</t>
    <phoneticPr fontId="8" type="noConversion"/>
  </si>
  <si>
    <t>1-1-13)申请休息日格式为：yyyymmdd</t>
    <phoneticPr fontId="8" type="noConversion"/>
  </si>
  <si>
    <t>1-1-12)申请休息日格式不为：yyyymmdd</t>
    <phoneticPr fontId="8" type="noConversion"/>
  </si>
  <si>
    <t>1-1-8)休假种类=1 且 合计休息天数&lt;有薪假剩余天数</t>
    <phoneticPr fontId="8" type="noConversion"/>
  </si>
  <si>
    <t>1-1-7)休假种类=1 且 合计休息天数=有薪假剩余天数</t>
    <phoneticPr fontId="8" type="noConversion"/>
  </si>
  <si>
    <t>1-1-5)申请休息日不为空</t>
    <phoneticPr fontId="8" type="noConversion"/>
  </si>
  <si>
    <t>1-1-3)休假类型 = 2</t>
    <phoneticPr fontId="8" type="noConversion"/>
  </si>
  <si>
    <t>1-1-2)休假类型 = 1</t>
    <phoneticPr fontId="8" type="noConversion"/>
  </si>
  <si>
    <t xml:space="preserve">    11)明细合计行数</t>
    <phoneticPr fontId="8" type="noConversion"/>
  </si>
  <si>
    <t>1-1-9)休假种类=2 且 合计休息天数&gt;调休剩余天数</t>
    <phoneticPr fontId="8" type="noConversion"/>
  </si>
  <si>
    <t>1-1-10)休假种类=2 且 合计休息天数=调休剩余天数</t>
    <phoneticPr fontId="8" type="noConversion"/>
  </si>
  <si>
    <t xml:space="preserve">    10)拆分行号</t>
    <phoneticPr fontId="8" type="noConversion"/>
  </si>
  <si>
    <t>1-1-18)开始时间&lt;考勤起始时间 且 结束时间&lt;考勤结束时间</t>
    <phoneticPr fontId="8" type="noConversion"/>
  </si>
  <si>
    <t>1-1-19)开始时间=考勤起始时间 且 结束时间=考勤结束时间</t>
    <phoneticPr fontId="8" type="noConversion"/>
  </si>
  <si>
    <t>1-1-20)开始时间&gt;考勤起始时间 且 结束时间&gt;考勤结束时间</t>
    <phoneticPr fontId="8" type="noConversion"/>
  </si>
  <si>
    <t>1-1-11)休假种类=2 且 合计休息天数&lt;调休剩余天数</t>
    <phoneticPr fontId="8" type="noConversion"/>
  </si>
  <si>
    <t>○ ○</t>
    <phoneticPr fontId="2"/>
  </si>
  <si>
    <t>1-1-2)开始时间=考勤起始时间 且 结束时间&gt;考勤结束时间</t>
    <phoneticPr fontId="8" type="noConversion"/>
  </si>
  <si>
    <t>1-1-3)开始时间&gt;考勤起始时间 且 结束时间&lt;考勤结束时间</t>
    <phoneticPr fontId="8" type="noConversion"/>
  </si>
  <si>
    <t>1-1-1)开始时间&lt;考勤起始时间 且 结束时间=考勤结束时间</t>
    <phoneticPr fontId="8" type="noConversion"/>
  </si>
  <si>
    <t>确认人            REVIEW人</t>
    <phoneticPr fontId="2"/>
  </si>
  <si>
    <t>1-1-1)休假类型 &lt;&gt; 1 且 &lt;&gt; 2</t>
    <phoneticPr fontId="8" type="noConversion"/>
  </si>
  <si>
    <t>1-1-4)结束时间-开始时间&lt;起始单位</t>
    <phoneticPr fontId="8" type="noConversion"/>
  </si>
  <si>
    <t>1-1-10)申请休息日为出勤日</t>
    <phoneticPr fontId="8" type="noConversion"/>
  </si>
  <si>
    <t>1-1-11)开始时间~结束时间为出勤日的正常出勤时间内</t>
    <phoneticPr fontId="8" type="noConversion"/>
  </si>
  <si>
    <t>1-1-12)开始时间~结束时间为出勤日的正常出勤时间外</t>
    <phoneticPr fontId="8" type="noConversion"/>
  </si>
  <si>
    <t>1-1-13)明细合计行数&gt;1 且 申请休息日跨月</t>
    <phoneticPr fontId="8" type="noConversion"/>
  </si>
  <si>
    <t>1-1-14)明细合计行数&gt;1 且 申请休息日不跨月</t>
    <phoneticPr fontId="8" type="noConversion"/>
  </si>
  <si>
    <t>1-1-15)明细合计行数&gt;1 且 申请休息日不相同</t>
    <phoneticPr fontId="8" type="noConversion"/>
  </si>
  <si>
    <t>1-1-16)明细合计行数&gt;1 且 申请休息日相同 且 时间重叠</t>
    <phoneticPr fontId="8" type="noConversion"/>
  </si>
  <si>
    <t>1-1-17)明细合计行数&gt;1 且 申请休息日相同 且 时间不重叠</t>
    <phoneticPr fontId="8" type="noConversion"/>
  </si>
  <si>
    <t>1-1-9)申请休息日不为出勤日</t>
    <phoneticPr fontId="8" type="noConversion"/>
  </si>
  <si>
    <t>1-1-8)结束时间-开始时间=最小单位的倍数</t>
    <phoneticPr fontId="8" type="noConversion"/>
  </si>
  <si>
    <t>1-1-7)结束时间-开始时间&lt;&gt;最小单位的倍数</t>
    <phoneticPr fontId="8" type="noConversion"/>
  </si>
  <si>
    <t>1-1-5)结束时间-开始时间=起始单位</t>
    <phoneticPr fontId="8" type="noConversion"/>
  </si>
  <si>
    <t>1-1-6)结束时间-开始时间&gt;起始单位</t>
    <phoneticPr fontId="8" type="noConversion"/>
  </si>
  <si>
    <t>1-1-18)休假时间和其他工时/加班/休假时间冲突</t>
    <phoneticPr fontId="8" type="noConversion"/>
  </si>
  <si>
    <t>1-1-19)休假时间和其他工时/加班/休假时间不冲突</t>
    <phoneticPr fontId="8" type="noConversion"/>
  </si>
  <si>
    <t>1-1-20)结束时间&gt;开始时间</t>
    <phoneticPr fontId="8" type="noConversion"/>
  </si>
  <si>
    <t>1-1-7)</t>
  </si>
  <si>
    <t>1-1-8)</t>
  </si>
  <si>
    <t>1-1-9)</t>
  </si>
  <si>
    <t>1-1-10)</t>
  </si>
  <si>
    <t>1-1-11)</t>
  </si>
  <si>
    <t>1-1-12)</t>
  </si>
  <si>
    <t>1-1-13)</t>
  </si>
  <si>
    <t>1-1-14)</t>
  </si>
  <si>
    <t>1-1-15)</t>
  </si>
  <si>
    <t>1-1-16)</t>
  </si>
  <si>
    <t>1-1-17)</t>
  </si>
  <si>
    <t>1-1-18)</t>
  </si>
  <si>
    <t>1-1-19)</t>
  </si>
  <si>
    <t>1-1-20)</t>
  </si>
  <si>
    <t xml:space="preserve">    1)用户ID</t>
    <phoneticPr fontId="8" type="noConversion"/>
  </si>
  <si>
    <t xml:space="preserve">    3)</t>
    <phoneticPr fontId="8" type="noConversion"/>
  </si>
  <si>
    <t xml:space="preserve">    4)</t>
  </si>
  <si>
    <t xml:space="preserve">    5)</t>
  </si>
  <si>
    <t xml:space="preserve">    6)</t>
  </si>
  <si>
    <t xml:space="preserve">    7)</t>
  </si>
  <si>
    <t xml:space="preserve">    8)</t>
  </si>
  <si>
    <t xml:space="preserve">    9)</t>
  </si>
  <si>
    <t xml:space="preserve">    10)</t>
  </si>
  <si>
    <t xml:space="preserve">    11)</t>
  </si>
  <si>
    <t>1-1-3)休假申请已承认</t>
  </si>
  <si>
    <t>1-1-5)休假申请已驳回</t>
    <phoneticPr fontId="8" type="noConversion"/>
  </si>
  <si>
    <t xml:space="preserve">    2)休假申请编号</t>
  </si>
  <si>
    <t>1-1-1)休假申请编号不存在</t>
  </si>
  <si>
    <t>1-1-4)休假申请编号为空</t>
  </si>
  <si>
    <t>1-1-6)休假申请未提交</t>
    <phoneticPr fontId="8" type="noConversion"/>
  </si>
  <si>
    <t>1-1-2)休假申请未承认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</si>
</sst>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Blue]&quot;N&quot;0000;[Red]&quot;E&quot;0000;;[Blue]General"/>
    <numFmt numFmtId="177" formatCode="m/d;@"/>
  </numFmts>
  <fonts count="10">
    <font>
      <sz val="11"/>
      <name val="明朝"/>
      <family val="1"/>
      <charset val="128"/>
    </font>
    <font>
      <sz val="9"/>
      <name val="ＭＳ Ｐゴシック"/>
      <family val="2"/>
      <charset val="128"/>
    </font>
    <font>
      <sz val="6"/>
      <name val="明朝"/>
      <family val="3"/>
      <charset val="128"/>
    </font>
    <font>
      <sz val="9"/>
      <name val="华文细黑"/>
      <family val="3"/>
      <charset val="134"/>
    </font>
    <font>
      <b/>
      <sz val="9"/>
      <name val="华文细黑"/>
      <family val="3"/>
      <charset val="134"/>
    </font>
    <font>
      <sz val="6"/>
      <name val="华文细黑"/>
      <family val="3"/>
      <charset val="134"/>
    </font>
    <font>
      <sz val="48"/>
      <name val="华文细黑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3" fillId="0" borderId="0" xfId="0" applyFont="1" applyProtection="1">
      <protection locked="0"/>
    </xf>
    <xf numFmtId="0" fontId="3" fillId="0" borderId="1" xfId="0" applyFont="1" applyBorder="1" applyAlignment="1" applyProtection="1">
      <alignment horizontal="centerContinuous"/>
      <protection locked="0"/>
    </xf>
    <xf numFmtId="0" fontId="3" fillId="0" borderId="2" xfId="0" applyFont="1" applyBorder="1" applyAlignment="1" applyProtection="1">
      <alignment horizontal="centerContinuous"/>
      <protection locked="0"/>
    </xf>
    <xf numFmtId="0" fontId="3" fillId="0" borderId="3" xfId="0" applyFont="1" applyBorder="1" applyAlignment="1" applyProtection="1">
      <alignment horizontal="centerContinuous"/>
      <protection locked="0"/>
    </xf>
    <xf numFmtId="0" fontId="3" fillId="0" borderId="4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0" borderId="6" xfId="0" applyFont="1" applyBorder="1" applyProtection="1">
      <protection locked="0"/>
    </xf>
    <xf numFmtId="0" fontId="3" fillId="0" borderId="7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3" fillId="0" borderId="9" xfId="0" applyFont="1" applyBorder="1" applyAlignment="1" applyProtection="1">
      <alignment horizontal="centerContinuous" vertical="center"/>
      <protection locked="0"/>
    </xf>
    <xf numFmtId="0" fontId="4" fillId="0" borderId="10" xfId="0" applyFont="1" applyBorder="1" applyAlignment="1" applyProtection="1">
      <alignment horizontal="centerContinuous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Continuous" vertical="center"/>
      <protection locked="0"/>
    </xf>
    <xf numFmtId="0" fontId="3" fillId="0" borderId="12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9" xfId="0" applyFont="1" applyBorder="1" applyAlignment="1" applyProtection="1">
      <protection locked="0"/>
    </xf>
    <xf numFmtId="0" fontId="3" fillId="0" borderId="11" xfId="0" applyFont="1" applyBorder="1" applyAlignment="1" applyProtection="1">
      <protection locked="0"/>
    </xf>
    <xf numFmtId="0" fontId="3" fillId="0" borderId="12" xfId="0" applyFont="1" applyBorder="1" applyAlignment="1" applyProtection="1">
      <alignment horizontal="right" vertical="top"/>
      <protection locked="0"/>
    </xf>
    <xf numFmtId="176" fontId="5" fillId="0" borderId="39" xfId="0" applyNumberFormat="1" applyFont="1" applyBorder="1" applyAlignment="1" applyProtection="1">
      <alignment horizontal="center" vertical="center" textRotation="90"/>
      <protection locked="0"/>
    </xf>
    <xf numFmtId="176" fontId="5" fillId="0" borderId="40" xfId="0" applyNumberFormat="1" applyFont="1" applyBorder="1" applyAlignment="1" applyProtection="1">
      <alignment horizontal="center" vertical="center" textRotation="90"/>
      <protection locked="0"/>
    </xf>
    <xf numFmtId="176" fontId="5" fillId="0" borderId="41" xfId="0" applyNumberFormat="1" applyFont="1" applyBorder="1" applyAlignment="1" applyProtection="1">
      <alignment horizontal="center" vertical="center" textRotation="90"/>
      <protection locked="0"/>
    </xf>
    <xf numFmtId="0" fontId="3" fillId="0" borderId="15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7" xfId="0" applyNumberFormat="1" applyFont="1" applyBorder="1" applyAlignment="1" applyProtection="1">
      <alignment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vertical="center"/>
      <protection locked="0"/>
    </xf>
    <xf numFmtId="49" fontId="3" fillId="0" borderId="21" xfId="0" applyNumberFormat="1" applyFont="1" applyBorder="1" applyAlignment="1" applyProtection="1">
      <alignment vertical="center"/>
      <protection locked="0"/>
    </xf>
    <xf numFmtId="49" fontId="3" fillId="0" borderId="22" xfId="0" applyNumberFormat="1" applyFont="1" applyBorder="1" applyAlignment="1" applyProtection="1">
      <alignment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49" fontId="3" fillId="0" borderId="7" xfId="0" applyNumberFormat="1" applyFont="1" applyBorder="1" applyAlignment="1" applyProtection="1">
      <alignment vertical="center"/>
      <protection locked="0"/>
    </xf>
    <xf numFmtId="49" fontId="3" fillId="0" borderId="8" xfId="0" applyNumberFormat="1" applyFont="1" applyBorder="1" applyAlignment="1" applyProtection="1">
      <alignment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Continuous" vertical="center"/>
      <protection locked="0"/>
    </xf>
    <xf numFmtId="0" fontId="3" fillId="0" borderId="27" xfId="0" applyFont="1" applyBorder="1" applyAlignment="1" applyProtection="1">
      <alignment horizontal="centerContinuous" vertical="center"/>
      <protection locked="0"/>
    </xf>
    <xf numFmtId="49" fontId="3" fillId="0" borderId="3" xfId="0" applyNumberFormat="1" applyFont="1" applyBorder="1" applyAlignment="1" applyProtection="1">
      <alignment vertical="center"/>
      <protection locked="0"/>
    </xf>
    <xf numFmtId="0" fontId="3" fillId="0" borderId="28" xfId="0" applyFont="1" applyBorder="1" applyAlignment="1" applyProtection="1">
      <alignment horizontal="center"/>
      <protection locked="0"/>
    </xf>
    <xf numFmtId="0" fontId="3" fillId="0" borderId="29" xfId="0" applyFont="1" applyBorder="1" applyAlignment="1" applyProtection="1">
      <alignment horizontal="center"/>
      <protection locked="0"/>
    </xf>
    <xf numFmtId="0" fontId="3" fillId="0" borderId="30" xfId="0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Continuous" vertical="center"/>
      <protection locked="0"/>
    </xf>
    <xf numFmtId="0" fontId="3" fillId="0" borderId="32" xfId="0" applyFont="1" applyBorder="1" applyAlignment="1" applyProtection="1">
      <alignment horizontal="centerContinuous" vertical="center"/>
      <protection locked="0"/>
    </xf>
    <xf numFmtId="0" fontId="3" fillId="0" borderId="30" xfId="0" applyFont="1" applyBorder="1" applyAlignment="1" applyProtection="1">
      <alignment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43" xfId="0" applyFont="1" applyBorder="1" applyAlignment="1" applyProtection="1">
      <alignment horizontal="center" vertical="center" textRotation="255"/>
    </xf>
    <xf numFmtId="0" fontId="3" fillId="0" borderId="31" xfId="0" applyFont="1" applyBorder="1" applyAlignment="1" applyProtection="1">
      <alignment vertical="center"/>
      <protection locked="0"/>
    </xf>
    <xf numFmtId="0" fontId="3" fillId="0" borderId="32" xfId="0" applyFont="1" applyBorder="1" applyAlignment="1" applyProtection="1">
      <alignment vertical="center"/>
      <protection locked="0"/>
    </xf>
    <xf numFmtId="177" fontId="3" fillId="0" borderId="28" xfId="0" applyNumberFormat="1" applyFont="1" applyBorder="1" applyAlignment="1" applyProtection="1">
      <alignment textRotation="90"/>
      <protection locked="0"/>
    </xf>
    <xf numFmtId="177" fontId="3" fillId="0" borderId="29" xfId="0" applyNumberFormat="1" applyFont="1" applyBorder="1" applyAlignment="1" applyProtection="1">
      <alignment textRotation="90"/>
      <protection locked="0"/>
    </xf>
    <xf numFmtId="0" fontId="3" fillId="0" borderId="29" xfId="0" applyFont="1" applyBorder="1" applyAlignment="1" applyProtection="1">
      <alignment textRotation="90"/>
      <protection locked="0"/>
    </xf>
    <xf numFmtId="0" fontId="3" fillId="0" borderId="30" xfId="0" applyFont="1" applyBorder="1" applyAlignment="1" applyProtection="1">
      <alignment textRotation="90"/>
      <protection locked="0"/>
    </xf>
    <xf numFmtId="0" fontId="3" fillId="0" borderId="6" xfId="0" applyFont="1" applyBorder="1" applyAlignment="1" applyProtection="1">
      <alignment horizontal="centerContinuous" vertical="center"/>
      <protection locked="0"/>
    </xf>
    <xf numFmtId="0" fontId="3" fillId="0" borderId="34" xfId="0" applyFont="1" applyBorder="1" applyAlignment="1" applyProtection="1">
      <alignment horizontal="centerContinuous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3" fillId="0" borderId="25" xfId="0" applyFont="1" applyBorder="1" applyAlignment="1" applyProtection="1">
      <alignment textRotation="90"/>
      <protection locked="0"/>
    </xf>
    <xf numFmtId="0" fontId="3" fillId="0" borderId="26" xfId="0" applyFont="1" applyBorder="1" applyAlignment="1" applyProtection="1">
      <alignment textRotation="90"/>
      <protection locked="0"/>
    </xf>
    <xf numFmtId="0" fontId="3" fillId="0" borderId="8" xfId="0" applyFont="1" applyBorder="1" applyAlignment="1" applyProtection="1">
      <alignment textRotation="90"/>
      <protection locked="0"/>
    </xf>
    <xf numFmtId="0" fontId="3" fillId="0" borderId="15" xfId="0" applyFont="1" applyBorder="1" applyAlignment="1" applyProtection="1">
      <alignment horizontal="centerContinuous" vertical="center"/>
      <protection locked="0"/>
    </xf>
    <xf numFmtId="0" fontId="3" fillId="0" borderId="35" xfId="0" applyFont="1" applyBorder="1" applyAlignment="1" applyProtection="1">
      <alignment horizontal="centerContinuous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vertical="center" textRotation="255"/>
      <protection locked="0"/>
    </xf>
    <xf numFmtId="0" fontId="3" fillId="0" borderId="37" xfId="0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17" xfId="0" applyFont="1" applyBorder="1" applyProtection="1">
      <protection locked="0"/>
    </xf>
    <xf numFmtId="0" fontId="3" fillId="0" borderId="6" xfId="0" applyFont="1" applyBorder="1" applyAlignment="1" applyProtection="1">
      <alignment vertical="top"/>
      <protection locked="0"/>
    </xf>
    <xf numFmtId="0" fontId="3" fillId="0" borderId="34" xfId="0" applyFont="1" applyBorder="1" applyAlignment="1" applyProtection="1">
      <alignment vertical="top" textRotation="255"/>
      <protection locked="0"/>
    </xf>
    <xf numFmtId="0" fontId="3" fillId="0" borderId="7" xfId="0" applyFont="1" applyBorder="1" applyAlignment="1" applyProtection="1">
      <alignment horizontal="center" vertical="top"/>
      <protection locked="0"/>
    </xf>
    <xf numFmtId="0" fontId="3" fillId="0" borderId="24" xfId="0" applyFont="1" applyBorder="1" applyAlignment="1" applyProtection="1">
      <alignment vertical="top" textRotation="255"/>
      <protection locked="0"/>
    </xf>
    <xf numFmtId="0" fontId="3" fillId="0" borderId="25" xfId="0" applyFont="1" applyBorder="1" applyAlignment="1" applyProtection="1">
      <alignment vertical="top"/>
      <protection locked="0"/>
    </xf>
    <xf numFmtId="0" fontId="3" fillId="0" borderId="26" xfId="0" applyFont="1" applyBorder="1" applyAlignment="1" applyProtection="1">
      <alignment vertical="top"/>
      <protection locked="0"/>
    </xf>
    <xf numFmtId="0" fontId="3" fillId="0" borderId="8" xfId="0" applyFont="1" applyBorder="1" applyAlignment="1" applyProtection="1">
      <alignment vertical="top"/>
      <protection locked="0"/>
    </xf>
    <xf numFmtId="0" fontId="3" fillId="0" borderId="0" xfId="0" applyFont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 textRotation="255"/>
      <protection locked="0"/>
    </xf>
    <xf numFmtId="0" fontId="3" fillId="0" borderId="0" xfId="0" applyFont="1" applyBorder="1" applyAlignment="1" applyProtection="1">
      <alignment horizontal="center" vertical="top"/>
      <protection locked="0"/>
    </xf>
    <xf numFmtId="0" fontId="3" fillId="0" borderId="0" xfId="0" applyFont="1" applyBorder="1"/>
    <xf numFmtId="0" fontId="3" fillId="2" borderId="0" xfId="0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0" borderId="0" xfId="0" quotePrefix="1" applyFont="1" applyBorder="1" applyProtection="1"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3" borderId="23" xfId="0" applyFont="1" applyFill="1" applyBorder="1" applyAlignment="1" applyProtection="1">
      <alignment horizontal="center" vertical="center"/>
      <protection locked="0"/>
    </xf>
    <xf numFmtId="0" fontId="3" fillId="3" borderId="48" xfId="0" applyFont="1" applyFill="1" applyBorder="1" applyAlignment="1" applyProtection="1">
      <alignment horizontal="center" vertical="center"/>
      <protection locked="0"/>
    </xf>
    <xf numFmtId="0" fontId="3" fillId="0" borderId="23" xfId="0" applyFont="1" applyBorder="1" applyProtection="1">
      <protection locked="0"/>
    </xf>
    <xf numFmtId="0" fontId="3" fillId="3" borderId="49" xfId="0" applyFont="1" applyFill="1" applyBorder="1" applyAlignment="1" applyProtection="1">
      <alignment horizontal="center" vertical="center"/>
      <protection locked="0"/>
    </xf>
    <xf numFmtId="0" fontId="3" fillId="3" borderId="50" xfId="0" applyFont="1" applyFill="1" applyBorder="1" applyAlignment="1" applyProtection="1">
      <alignment horizontal="center" vertical="center"/>
      <protection locked="0"/>
    </xf>
    <xf numFmtId="0" fontId="3" fillId="0" borderId="50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44" xfId="0" applyFont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6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horizontal="center" vertical="center" textRotation="255"/>
      <protection locked="0"/>
    </xf>
    <xf numFmtId="0" fontId="3" fillId="0" borderId="14" xfId="0" applyFont="1" applyBorder="1" applyAlignment="1" applyProtection="1">
      <alignment horizontal="center" vertical="center" textRotation="255"/>
      <protection locked="0"/>
    </xf>
    <xf numFmtId="0" fontId="3" fillId="0" borderId="24" xfId="0" applyFont="1" applyBorder="1" applyAlignment="1" applyProtection="1">
      <alignment horizontal="center" vertical="center" textRotation="255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58054" name="Button 6" hidden="1">
              <a:extLst>
                <a:ext uri="{63B3BB69-23CF-44E3-9099-C40C66FF867C}">
                  <a14:compatExt spid="_x0000_s258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58055" name="Button 7" hidden="1">
              <a:extLst>
                <a:ext uri="{63B3BB69-23CF-44E3-9099-C40C66FF867C}">
                  <a14:compatExt spid="_x0000_s258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0098" name="Button 2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0099" name="Button 3" hidden="1">
              <a:extLst>
                <a:ext uri="{63B3BB69-23CF-44E3-9099-C40C66FF867C}">
                  <a14:compatExt spid="_x0000_s260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0100" name="Button 4" hidden="1">
              <a:extLst>
                <a:ext uri="{63B3BB69-23CF-44E3-9099-C40C66FF867C}">
                  <a14:compatExt spid="_x0000_s260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0101" name="Button 5" hidden="1">
              <a:extLst>
                <a:ext uri="{63B3BB69-23CF-44E3-9099-C40C66FF867C}">
                  <a14:compatExt spid="_x0000_s260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0102" name="Button 6" hidden="1">
              <a:extLst>
                <a:ext uri="{63B3BB69-23CF-44E3-9099-C40C66FF867C}">
                  <a14:compatExt spid="_x0000_s260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0103" name="Button 7" hidden="1">
              <a:extLst>
                <a:ext uri="{63B3BB69-23CF-44E3-9099-C40C66FF867C}">
                  <a14:compatExt spid="_x0000_s260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1121" name="Button 1" hidden="1">
              <a:extLst>
                <a:ext uri="{63B3BB69-23CF-44E3-9099-C40C66FF867C}">
                  <a14:compatExt spid="_x0000_s26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1122" name="Button 2" hidden="1">
              <a:extLst>
                <a:ext uri="{63B3BB69-23CF-44E3-9099-C40C66FF867C}">
                  <a14:compatExt spid="_x0000_s26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1123" name="Button 3" hidden="1">
              <a:extLst>
                <a:ext uri="{63B3BB69-23CF-44E3-9099-C40C66FF867C}">
                  <a14:compatExt spid="_x0000_s26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1124" name="Button 4" hidden="1">
              <a:extLst>
                <a:ext uri="{63B3BB69-23CF-44E3-9099-C40C66FF867C}">
                  <a14:compatExt spid="_x0000_s26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1125" name="Button 5" hidden="1">
              <a:extLst>
                <a:ext uri="{63B3BB69-23CF-44E3-9099-C40C66FF867C}">
                  <a14:compatExt spid="_x0000_s26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1126" name="Button 6" hidden="1">
              <a:extLst>
                <a:ext uri="{63B3BB69-23CF-44E3-9099-C40C66FF867C}">
                  <a14:compatExt spid="_x0000_s26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1127" name="Button 7" hidden="1">
              <a:extLst>
                <a:ext uri="{63B3BB69-23CF-44E3-9099-C40C66FF867C}">
                  <a14:compatExt spid="_x0000_s26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A75"/>
  <sheetViews>
    <sheetView showGridLines="0" view="pageBreakPreview" zoomScale="130" zoomScaleNormal="130" zoomScaleSheetLayoutView="130" workbookViewId="0">
      <selection activeCell="G20" sqref="G20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>TCN000UTN0011</v>
      </c>
      <c r="P7" s="23" t="str">
        <f t="shared" si="0"/>
        <v>TCN000UTN0012</v>
      </c>
      <c r="Q7" s="23" t="str">
        <f t="shared" si="0"/>
        <v>TCN000UTN0013</v>
      </c>
      <c r="R7" s="23" t="str">
        <f t="shared" si="0"/>
        <v>TCN000UTN0014</v>
      </c>
      <c r="S7" s="23" t="str">
        <f t="shared" si="0"/>
        <v>TCN000UTN0015</v>
      </c>
      <c r="T7" s="23" t="str">
        <f t="shared" si="0"/>
        <v>TCN000UTN0016</v>
      </c>
      <c r="U7" s="23" t="str">
        <f t="shared" si="0"/>
        <v>TCN000UTN0017</v>
      </c>
      <c r="V7" s="23" t="str">
        <f t="shared" si="0"/>
        <v>TCN000UTN0018</v>
      </c>
      <c r="W7" s="23" t="str">
        <f t="shared" si="0"/>
        <v>TCN000UTN0019</v>
      </c>
      <c r="X7" s="24" t="str">
        <f t="shared" si="0"/>
        <v>TCN000UTN0020</v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50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50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53</v>
      </c>
      <c r="C10" s="31"/>
      <c r="D10" s="32"/>
      <c r="E10" s="88"/>
      <c r="F10" s="88"/>
      <c r="G10" s="88"/>
      <c r="H10" s="88"/>
      <c r="I10" s="88"/>
      <c r="J10" s="88" t="s">
        <v>64</v>
      </c>
      <c r="K10" s="88" t="s">
        <v>64</v>
      </c>
      <c r="L10" s="88" t="s">
        <v>64</v>
      </c>
      <c r="M10" s="88" t="s">
        <v>64</v>
      </c>
      <c r="N10" s="88" t="s">
        <v>64</v>
      </c>
      <c r="O10" s="88" t="s">
        <v>64</v>
      </c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54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55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66</v>
      </c>
      <c r="C13" s="31"/>
      <c r="D13" s="32"/>
      <c r="E13" s="89"/>
      <c r="F13" s="88"/>
      <c r="G13" s="33"/>
      <c r="H13" s="88" t="s">
        <v>64</v>
      </c>
      <c r="I13" s="88" t="s">
        <v>64</v>
      </c>
      <c r="J13" s="88"/>
      <c r="K13" s="88"/>
      <c r="L13" s="88"/>
      <c r="M13" s="88"/>
      <c r="N13" s="88"/>
      <c r="O13" s="88"/>
      <c r="P13" s="88" t="s">
        <v>64</v>
      </c>
      <c r="Q13" s="88" t="s">
        <v>64</v>
      </c>
      <c r="R13" s="33"/>
      <c r="S13" s="33"/>
      <c r="T13" s="88"/>
      <c r="U13" s="88"/>
      <c r="V13" s="33"/>
      <c r="W13" s="33"/>
      <c r="X13" s="34"/>
    </row>
    <row r="14" spans="1:27" ht="11.25" customHeight="1">
      <c r="A14" s="108"/>
      <c r="B14" s="30" t="s">
        <v>56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 t="s">
        <v>64</v>
      </c>
      <c r="S14" s="88" t="s">
        <v>64</v>
      </c>
      <c r="T14" s="33"/>
      <c r="U14" s="88"/>
      <c r="V14" s="88" t="s">
        <v>64</v>
      </c>
      <c r="W14" s="88" t="s">
        <v>64</v>
      </c>
      <c r="X14" s="88" t="s">
        <v>64</v>
      </c>
    </row>
    <row r="15" spans="1:27" ht="11.25" customHeight="1">
      <c r="A15" s="108"/>
      <c r="B15" s="30" t="s">
        <v>57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 t="s">
        <v>64</v>
      </c>
      <c r="U15" s="88" t="s">
        <v>64</v>
      </c>
      <c r="V15" s="88" t="s">
        <v>64</v>
      </c>
      <c r="W15" s="88" t="s">
        <v>64</v>
      </c>
      <c r="X15" s="88" t="s">
        <v>64</v>
      </c>
    </row>
    <row r="16" spans="1:27" ht="11.25" customHeight="1">
      <c r="A16" s="108"/>
      <c r="B16" s="30" t="s">
        <v>58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59</v>
      </c>
      <c r="C17" s="31"/>
      <c r="D17" s="32"/>
      <c r="E17" s="88" t="s">
        <v>65</v>
      </c>
      <c r="F17" s="88" t="s">
        <v>64</v>
      </c>
      <c r="G17" s="88" t="s">
        <v>64</v>
      </c>
      <c r="H17" s="88"/>
      <c r="I17" s="88"/>
      <c r="J17" s="88" t="s">
        <v>64</v>
      </c>
      <c r="K17" s="88" t="s">
        <v>64</v>
      </c>
      <c r="L17" s="88" t="s">
        <v>64</v>
      </c>
      <c r="M17" s="88" t="s">
        <v>64</v>
      </c>
      <c r="N17" s="88" t="s">
        <v>64</v>
      </c>
      <c r="O17" s="88" t="s">
        <v>64</v>
      </c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8"/>
      <c r="B18" s="30" t="s">
        <v>84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8"/>
      <c r="B19" s="30" t="s">
        <v>63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94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80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79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67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78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68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77</v>
      </c>
      <c r="C37" s="31"/>
      <c r="D37" s="32"/>
      <c r="E37" s="89"/>
      <c r="F37" s="88"/>
      <c r="G37" s="88"/>
      <c r="H37" s="88"/>
      <c r="I37" s="88"/>
      <c r="J37" s="33"/>
      <c r="K37" s="88" t="s">
        <v>64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76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64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82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64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83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64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88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 t="s">
        <v>64</v>
      </c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75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 t="s">
        <v>64</v>
      </c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74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 t="s">
        <v>64</v>
      </c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73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 t="s">
        <v>64</v>
      </c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72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64</v>
      </c>
      <c r="T45" s="88"/>
      <c r="U45" s="88"/>
      <c r="V45" s="33"/>
      <c r="W45" s="33"/>
      <c r="X45" s="33"/>
    </row>
    <row r="46" spans="1:24" ht="11.25" customHeight="1">
      <c r="A46" s="108"/>
      <c r="B46" s="30" t="s">
        <v>71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64</v>
      </c>
      <c r="U46" s="88"/>
      <c r="V46" s="33"/>
      <c r="W46" s="33"/>
      <c r="X46" s="33"/>
    </row>
    <row r="47" spans="1:24" ht="11.25" customHeight="1">
      <c r="A47" s="108"/>
      <c r="B47" s="30" t="s">
        <v>70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64</v>
      </c>
      <c r="V47" s="33"/>
      <c r="W47" s="33"/>
      <c r="X47" s="33"/>
    </row>
    <row r="48" spans="1:24" ht="11.25" customHeight="1">
      <c r="A48" s="108"/>
      <c r="B48" s="30" t="s">
        <v>85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 t="s">
        <v>64</v>
      </c>
      <c r="W48" s="33"/>
      <c r="X48" s="33"/>
    </row>
    <row r="49" spans="1:24" ht="11.25" customHeight="1">
      <c r="A49" s="108"/>
      <c r="B49" s="30" t="s">
        <v>86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 t="s">
        <v>64</v>
      </c>
      <c r="X49" s="33"/>
    </row>
    <row r="50" spans="1:24" ht="11.25" customHeight="1">
      <c r="A50" s="108"/>
      <c r="B50" s="30" t="s">
        <v>87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 t="s">
        <v>64</v>
      </c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5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>N</v>
      </c>
      <c r="P53" s="50" t="str">
        <f t="shared" si="1"/>
        <v>N</v>
      </c>
      <c r="Q53" s="50" t="str">
        <f t="shared" si="1"/>
        <v>N</v>
      </c>
      <c r="R53" s="50" t="str">
        <f t="shared" si="1"/>
        <v>N</v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>N</v>
      </c>
      <c r="W53" s="50" t="str">
        <f t="shared" si="1"/>
        <v>N</v>
      </c>
      <c r="X53" s="50" t="str">
        <f t="shared" si="1"/>
        <v>N</v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89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93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11</v>
      </c>
      <c r="P59" s="83">
        <f>IF(P53="",0,MAX($E59:O59)+1)</f>
        <v>12</v>
      </c>
      <c r="Q59" s="83">
        <f>IF(Q53="",0,MAX($E59:P59)+1)</f>
        <v>13</v>
      </c>
      <c r="R59" s="83">
        <f>IF(R53="",0,MAX($E59:Q59)+1)</f>
        <v>14</v>
      </c>
      <c r="S59" s="83">
        <f>IF(S53="",0,MAX($E59:R59)+1)</f>
        <v>15</v>
      </c>
      <c r="T59" s="83">
        <f>IF(T53="",0,MAX($E59:S59)+1)</f>
        <v>16</v>
      </c>
      <c r="U59" s="83">
        <f>IF(U53="",0,MAX($E59:T59)+1)</f>
        <v>17</v>
      </c>
      <c r="V59" s="83">
        <f>IF(V53="",0,MAX($E59:U59)+1)</f>
        <v>18</v>
      </c>
      <c r="W59" s="83">
        <f>IF(W53="",0,MAX($E59:V59)+1)</f>
        <v>19</v>
      </c>
      <c r="X59" s="83">
        <f>IF(X53="",0,MAX($E59:W59)+1)</f>
        <v>20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>N</v>
      </c>
      <c r="P60" s="83" t="str">
        <f t="shared" si="2"/>
        <v>N</v>
      </c>
      <c r="Q60" s="83" t="str">
        <f t="shared" si="2"/>
        <v>N</v>
      </c>
      <c r="R60" s="83" t="str">
        <f t="shared" si="2"/>
        <v>N</v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>N</v>
      </c>
      <c r="W60" s="83" t="str">
        <f t="shared" si="2"/>
        <v>N</v>
      </c>
      <c r="X60" s="83" t="str">
        <f t="shared" si="2"/>
        <v>N</v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20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4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5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A75"/>
  <sheetViews>
    <sheetView showGridLines="0" view="pageBreakPreview" topLeftCell="A37" zoomScale="130" zoomScaleNormal="130" zoomScaleSheetLayoutView="130" workbookViewId="0">
      <selection activeCell="B47" sqref="A47:XFD47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>TCN000UTN0011</v>
      </c>
      <c r="P7" s="23" t="str">
        <f t="shared" si="0"/>
        <v>TCN000UTN0012</v>
      </c>
      <c r="Q7" s="23" t="str">
        <f t="shared" si="0"/>
        <v>TCN000UTN0013</v>
      </c>
      <c r="R7" s="23" t="str">
        <f t="shared" si="0"/>
        <v>TCN000UTN0014</v>
      </c>
      <c r="S7" s="23" t="str">
        <f t="shared" si="0"/>
        <v>TCN000UTN0015</v>
      </c>
      <c r="T7" s="23" t="str">
        <f t="shared" si="0"/>
        <v>TCN000UTN0016</v>
      </c>
      <c r="U7" s="23" t="str">
        <f t="shared" si="0"/>
        <v>TCN000UTN0017</v>
      </c>
      <c r="V7" s="23" t="str">
        <f t="shared" si="0"/>
        <v>TCN000UTN0018</v>
      </c>
      <c r="W7" s="23" t="str">
        <f t="shared" si="0"/>
        <v>TCN000UTN0019</v>
      </c>
      <c r="X7" s="24" t="str">
        <f t="shared" si="0"/>
        <v>TCN000UTN0020</v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53</v>
      </c>
      <c r="C10" s="31"/>
      <c r="D10" s="32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54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55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66</v>
      </c>
      <c r="C13" s="31"/>
      <c r="D13" s="32"/>
      <c r="E13" s="89"/>
      <c r="F13" s="88"/>
      <c r="G13" s="33"/>
      <c r="H13" s="88"/>
      <c r="I13" s="88"/>
      <c r="J13" s="88"/>
      <c r="K13" s="88"/>
      <c r="L13" s="88"/>
      <c r="M13" s="88" t="s">
        <v>64</v>
      </c>
      <c r="N13" s="88" t="s">
        <v>64</v>
      </c>
      <c r="O13" s="88" t="s">
        <v>64</v>
      </c>
      <c r="P13" s="88" t="s">
        <v>64</v>
      </c>
      <c r="Q13" s="88" t="s">
        <v>64</v>
      </c>
      <c r="R13" s="88" t="s">
        <v>64</v>
      </c>
      <c r="S13" s="88" t="s">
        <v>64</v>
      </c>
      <c r="T13" s="88" t="s">
        <v>64</v>
      </c>
      <c r="U13" s="88" t="s">
        <v>64</v>
      </c>
      <c r="V13" s="88" t="s">
        <v>64</v>
      </c>
      <c r="W13" s="88" t="s">
        <v>64</v>
      </c>
      <c r="X13" s="34"/>
    </row>
    <row r="14" spans="1:27" ht="11.25" customHeight="1">
      <c r="A14" s="108"/>
      <c r="B14" s="30" t="s">
        <v>56</v>
      </c>
      <c r="C14" s="31"/>
      <c r="D14" s="32"/>
      <c r="E14" s="88" t="s">
        <v>64</v>
      </c>
      <c r="F14" s="88" t="s">
        <v>64</v>
      </c>
      <c r="G14" s="88" t="s">
        <v>64</v>
      </c>
      <c r="H14" s="88" t="s">
        <v>64</v>
      </c>
      <c r="I14" s="88" t="s">
        <v>64</v>
      </c>
      <c r="J14" s="88" t="s">
        <v>64</v>
      </c>
      <c r="K14" s="88" t="s">
        <v>64</v>
      </c>
      <c r="L14" s="88" t="s">
        <v>64</v>
      </c>
      <c r="M14" s="88"/>
      <c r="N14" s="88"/>
      <c r="O14" s="88" t="s">
        <v>64</v>
      </c>
      <c r="P14" s="88" t="s">
        <v>64</v>
      </c>
      <c r="Q14" s="88"/>
      <c r="R14" s="88"/>
      <c r="S14" s="88"/>
      <c r="T14" s="88" t="s">
        <v>64</v>
      </c>
      <c r="U14" s="88" t="s">
        <v>64</v>
      </c>
      <c r="V14" s="88" t="s">
        <v>64</v>
      </c>
      <c r="W14" s="88" t="s">
        <v>64</v>
      </c>
      <c r="X14" s="88" t="s">
        <v>64</v>
      </c>
    </row>
    <row r="15" spans="1:27" ht="11.25" customHeight="1">
      <c r="A15" s="108"/>
      <c r="B15" s="30" t="s">
        <v>57</v>
      </c>
      <c r="C15" s="31"/>
      <c r="D15" s="32"/>
      <c r="E15" s="88" t="s">
        <v>64</v>
      </c>
      <c r="F15" s="88" t="s">
        <v>64</v>
      </c>
      <c r="G15" s="88" t="s">
        <v>64</v>
      </c>
      <c r="H15" s="88" t="s">
        <v>64</v>
      </c>
      <c r="I15" s="88" t="s">
        <v>64</v>
      </c>
      <c r="J15" s="88" t="s">
        <v>64</v>
      </c>
      <c r="K15" s="88" t="s">
        <v>64</v>
      </c>
      <c r="L15" s="88" t="s">
        <v>64</v>
      </c>
      <c r="M15" s="88"/>
      <c r="N15" s="88"/>
      <c r="O15" s="88" t="s">
        <v>64</v>
      </c>
      <c r="P15" s="88" t="s">
        <v>64</v>
      </c>
      <c r="Q15" s="88"/>
      <c r="R15" s="88"/>
      <c r="S15" s="88"/>
      <c r="T15" s="88" t="s">
        <v>64</v>
      </c>
      <c r="U15" s="88" t="s">
        <v>64</v>
      </c>
      <c r="V15" s="88" t="s">
        <v>64</v>
      </c>
      <c r="W15" s="88" t="s">
        <v>64</v>
      </c>
      <c r="X15" s="88" t="s">
        <v>64</v>
      </c>
    </row>
    <row r="16" spans="1:27" ht="11.25" customHeight="1">
      <c r="A16" s="108"/>
      <c r="B16" s="30" t="s">
        <v>58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59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33"/>
      <c r="W17" s="33"/>
      <c r="X17" s="34"/>
    </row>
    <row r="18" spans="1:24" ht="11.25" customHeight="1">
      <c r="A18" s="108"/>
      <c r="B18" s="30" t="s">
        <v>60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33"/>
      <c r="W18" s="33"/>
      <c r="X18" s="34"/>
    </row>
    <row r="19" spans="1:24" ht="11.25" customHeight="1">
      <c r="A19" s="108"/>
      <c r="B19" s="30" t="s">
        <v>81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33"/>
      <c r="P19" s="33"/>
      <c r="Q19" s="88" t="s">
        <v>64</v>
      </c>
      <c r="R19" s="88" t="s">
        <v>64</v>
      </c>
      <c r="S19" s="88" t="s">
        <v>64</v>
      </c>
      <c r="T19" s="88" t="s">
        <v>64</v>
      </c>
      <c r="U19" s="88" t="s">
        <v>64</v>
      </c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92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90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91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95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107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108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106</v>
      </c>
      <c r="C37" s="31"/>
      <c r="D37" s="32"/>
      <c r="E37" s="89"/>
      <c r="F37" s="88"/>
      <c r="G37" s="88"/>
      <c r="H37" s="88"/>
      <c r="I37" s="88"/>
      <c r="J37" s="33"/>
      <c r="K37" s="88" t="s">
        <v>64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105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64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104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64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96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64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97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 t="s">
        <v>64</v>
      </c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98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 t="s">
        <v>64</v>
      </c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99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 t="s">
        <v>64</v>
      </c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100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 t="s">
        <v>64</v>
      </c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101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64</v>
      </c>
      <c r="T45" s="88"/>
      <c r="U45" s="88"/>
      <c r="V45" s="33"/>
      <c r="W45" s="33"/>
      <c r="X45" s="33"/>
    </row>
    <row r="46" spans="1:24" ht="11.25" customHeight="1">
      <c r="A46" s="108"/>
      <c r="B46" s="30" t="s">
        <v>102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64</v>
      </c>
      <c r="U46" s="88"/>
      <c r="V46" s="33"/>
      <c r="W46" s="33"/>
      <c r="X46" s="33"/>
    </row>
    <row r="47" spans="1:24" ht="11.25" customHeight="1">
      <c r="A47" s="108"/>
      <c r="B47" s="30" t="s">
        <v>103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64</v>
      </c>
      <c r="V47" s="33"/>
      <c r="W47" s="33"/>
      <c r="X47" s="33"/>
    </row>
    <row r="48" spans="1:24" ht="11.25" customHeight="1">
      <c r="A48" s="108"/>
      <c r="B48" s="30" t="s">
        <v>109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 t="s">
        <v>64</v>
      </c>
      <c r="W48" s="33"/>
      <c r="X48" s="33"/>
    </row>
    <row r="49" spans="1:24" ht="11.25" customHeight="1">
      <c r="A49" s="108"/>
      <c r="B49" s="30" t="s">
        <v>110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 t="s">
        <v>64</v>
      </c>
      <c r="X49" s="33"/>
    </row>
    <row r="50" spans="1:24" ht="11.25" customHeight="1">
      <c r="A50" s="108"/>
      <c r="B50" s="30" t="s">
        <v>111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 t="s">
        <v>64</v>
      </c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6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>N</v>
      </c>
      <c r="P53" s="50" t="str">
        <f t="shared" si="1"/>
        <v>N</v>
      </c>
      <c r="Q53" s="50" t="str">
        <f t="shared" si="1"/>
        <v>N</v>
      </c>
      <c r="R53" s="50" t="str">
        <f t="shared" si="1"/>
        <v>N</v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>N</v>
      </c>
      <c r="W53" s="50" t="str">
        <f t="shared" si="1"/>
        <v>N</v>
      </c>
      <c r="X53" s="50" t="str">
        <f t="shared" si="1"/>
        <v>N</v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11</v>
      </c>
      <c r="P59" s="83">
        <f>IF(P53="",0,MAX($E59:O59)+1)</f>
        <v>12</v>
      </c>
      <c r="Q59" s="83">
        <f>IF(Q53="",0,MAX($E59:P59)+1)</f>
        <v>13</v>
      </c>
      <c r="R59" s="83">
        <f>IF(R53="",0,MAX($E59:Q59)+1)</f>
        <v>14</v>
      </c>
      <c r="S59" s="83">
        <f>IF(S53="",0,MAX($E59:R59)+1)</f>
        <v>15</v>
      </c>
      <c r="T59" s="83">
        <f>IF(T53="",0,MAX($E59:S59)+1)</f>
        <v>16</v>
      </c>
      <c r="U59" s="83">
        <f>IF(U53="",0,MAX($E59:T59)+1)</f>
        <v>17</v>
      </c>
      <c r="V59" s="83">
        <f>IF(V53="",0,MAX($E59:U59)+1)</f>
        <v>18</v>
      </c>
      <c r="W59" s="83">
        <f>IF(W53="",0,MAX($E59:V59)+1)</f>
        <v>19</v>
      </c>
      <c r="X59" s="83">
        <f>IF(X53="",0,MAX($E59:W59)+1)</f>
        <v>20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>N</v>
      </c>
      <c r="P60" s="83" t="str">
        <f t="shared" si="2"/>
        <v>N</v>
      </c>
      <c r="Q60" s="83" t="str">
        <f t="shared" si="2"/>
        <v>N</v>
      </c>
      <c r="R60" s="83" t="str">
        <f t="shared" si="2"/>
        <v>N</v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>N</v>
      </c>
      <c r="W60" s="83" t="str">
        <f t="shared" si="2"/>
        <v>N</v>
      </c>
      <c r="X60" s="83" t="str">
        <f t="shared" si="2"/>
        <v>N</v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20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sheetProtection sheet="1" objects="1" scenarios="1"/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9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0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1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2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3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AA75"/>
  <sheetViews>
    <sheetView showGridLines="0" tabSelected="1" view="pageBreakPreview" topLeftCell="A22" zoomScale="130" zoomScaleNormal="130" zoomScaleSheetLayoutView="130" workbookViewId="0">
      <selection activeCell="C15" sqref="C15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/>
      </c>
      <c r="L7" s="23" t="str">
        <f t="shared" si="0"/>
        <v/>
      </c>
      <c r="M7" s="23" t="str">
        <f t="shared" si="0"/>
        <v/>
      </c>
      <c r="N7" s="23" t="str">
        <f t="shared" si="0"/>
        <v/>
      </c>
      <c r="O7" s="23" t="str">
        <f t="shared" si="0"/>
        <v/>
      </c>
      <c r="P7" s="23" t="str">
        <f t="shared" si="0"/>
        <v/>
      </c>
      <c r="Q7" s="23" t="str">
        <f t="shared" si="0"/>
        <v/>
      </c>
      <c r="R7" s="23" t="str">
        <f t="shared" si="0"/>
        <v/>
      </c>
      <c r="S7" s="23" t="str">
        <f t="shared" si="0"/>
        <v/>
      </c>
      <c r="T7" s="23" t="str">
        <f t="shared" si="0"/>
        <v/>
      </c>
      <c r="U7" s="23" t="str">
        <f t="shared" si="0"/>
        <v/>
      </c>
      <c r="V7" s="23" t="str">
        <f t="shared" si="0"/>
        <v/>
      </c>
      <c r="W7" s="23" t="str">
        <f t="shared" si="0"/>
        <v/>
      </c>
      <c r="X7" s="24" t="str">
        <f t="shared" si="0"/>
        <v/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126</v>
      </c>
      <c r="C9" s="31"/>
      <c r="D9" s="32"/>
      <c r="E9" s="33"/>
      <c r="F9" s="33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138</v>
      </c>
      <c r="C10" s="31"/>
      <c r="D10" s="32"/>
      <c r="E10" s="33" t="s">
        <v>42</v>
      </c>
      <c r="F10" s="33" t="s">
        <v>42</v>
      </c>
      <c r="G10" s="33" t="s">
        <v>42</v>
      </c>
      <c r="H10" s="33" t="s">
        <v>42</v>
      </c>
      <c r="I10" s="33" t="s">
        <v>42</v>
      </c>
      <c r="J10" s="33" t="s">
        <v>42</v>
      </c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127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128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129</v>
      </c>
      <c r="C13" s="31"/>
      <c r="D13" s="32"/>
      <c r="E13" s="89"/>
      <c r="F13" s="88"/>
      <c r="G13" s="33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33"/>
      <c r="S13" s="33"/>
      <c r="T13" s="88"/>
      <c r="U13" s="88"/>
      <c r="V13" s="33"/>
      <c r="W13" s="33"/>
      <c r="X13" s="34"/>
    </row>
    <row r="14" spans="1:27" ht="11.25" customHeight="1">
      <c r="A14" s="108"/>
      <c r="B14" s="30" t="s">
        <v>130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33"/>
      <c r="U14" s="88"/>
      <c r="V14" s="88"/>
      <c r="W14" s="88"/>
      <c r="X14" s="88"/>
    </row>
    <row r="15" spans="1:27" ht="11.25" customHeight="1">
      <c r="A15" s="108"/>
      <c r="B15" s="30" t="s">
        <v>131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/>
      <c r="U15" s="88"/>
      <c r="V15" s="88"/>
      <c r="W15" s="88"/>
      <c r="X15" s="88"/>
    </row>
    <row r="16" spans="1:27" ht="11.25" customHeight="1">
      <c r="A16" s="108"/>
      <c r="B16" s="30" t="s">
        <v>132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133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8"/>
      <c r="B18" s="30" t="s">
        <v>134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8"/>
      <c r="B19" s="30" t="s">
        <v>135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139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142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136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140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137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141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112</v>
      </c>
      <c r="C37" s="31"/>
      <c r="D37" s="32"/>
      <c r="E37" s="89"/>
      <c r="F37" s="88"/>
      <c r="G37" s="88"/>
      <c r="H37" s="88"/>
      <c r="I37" s="88"/>
      <c r="J37" s="33"/>
      <c r="K37" s="88"/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113</v>
      </c>
      <c r="C38" s="31"/>
      <c r="D38" s="32"/>
      <c r="E38" s="89"/>
      <c r="F38" s="88"/>
      <c r="G38" s="88"/>
      <c r="H38" s="88"/>
      <c r="I38" s="88"/>
      <c r="J38" s="33"/>
      <c r="K38" s="33"/>
      <c r="L38" s="88"/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114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/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115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/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116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/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117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/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118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/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119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/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120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/>
      <c r="T45" s="88"/>
      <c r="U45" s="88"/>
      <c r="V45" s="33"/>
      <c r="W45" s="33"/>
      <c r="X45" s="33"/>
    </row>
    <row r="46" spans="1:24" ht="11.25" customHeight="1">
      <c r="A46" s="108"/>
      <c r="B46" s="30" t="s">
        <v>121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/>
      <c r="U46" s="88"/>
      <c r="V46" s="33"/>
      <c r="W46" s="33"/>
      <c r="X46" s="33"/>
    </row>
    <row r="47" spans="1:24" ht="11.25" customHeight="1">
      <c r="A47" s="108"/>
      <c r="B47" s="30" t="s">
        <v>122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/>
      <c r="V47" s="33"/>
      <c r="W47" s="33"/>
      <c r="X47" s="33"/>
    </row>
    <row r="48" spans="1:24" ht="11.25" customHeight="1">
      <c r="A48" s="108"/>
      <c r="B48" s="30" t="s">
        <v>123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/>
      <c r="W48" s="33"/>
      <c r="X48" s="33"/>
    </row>
    <row r="49" spans="1:24" ht="11.25" customHeight="1">
      <c r="A49" s="108"/>
      <c r="B49" s="30" t="s">
        <v>124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/>
      <c r="X49" s="33"/>
    </row>
    <row r="50" spans="1:24" ht="11.25" customHeight="1">
      <c r="A50" s="108"/>
      <c r="B50" s="30" t="s">
        <v>125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/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7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/>
      </c>
      <c r="L53" s="50" t="str">
        <f t="shared" si="1"/>
        <v/>
      </c>
      <c r="M53" s="50" t="str">
        <f t="shared" si="1"/>
        <v/>
      </c>
      <c r="N53" s="50" t="str">
        <f t="shared" si="1"/>
        <v/>
      </c>
      <c r="O53" s="50" t="str">
        <f t="shared" si="1"/>
        <v/>
      </c>
      <c r="P53" s="50" t="str">
        <f t="shared" si="1"/>
        <v/>
      </c>
      <c r="Q53" s="50" t="str">
        <f t="shared" si="1"/>
        <v/>
      </c>
      <c r="R53" s="50" t="str">
        <f t="shared" si="1"/>
        <v/>
      </c>
      <c r="S53" s="50" t="str">
        <f t="shared" si="1"/>
        <v/>
      </c>
      <c r="T53" s="50" t="str">
        <f t="shared" si="1"/>
        <v/>
      </c>
      <c r="U53" s="50" t="str">
        <f t="shared" si="1"/>
        <v/>
      </c>
      <c r="V53" s="50" t="str">
        <f t="shared" si="1"/>
        <v/>
      </c>
      <c r="W53" s="50" t="str">
        <f t="shared" si="1"/>
        <v/>
      </c>
      <c r="X53" s="50" t="str">
        <f t="shared" si="1"/>
        <v/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0</v>
      </c>
      <c r="L59" s="83">
        <f>IF(L53="",0,MAX($E59:K59)+1)</f>
        <v>0</v>
      </c>
      <c r="M59" s="83">
        <f>IF(M53="",0,MAX($E59:L59)+1)</f>
        <v>0</v>
      </c>
      <c r="N59" s="83">
        <f>IF(N53="",0,MAX($E59:M59)+1)</f>
        <v>0</v>
      </c>
      <c r="O59" s="83">
        <f>IF(O53="",0,MAX($E59:N59)+1)</f>
        <v>0</v>
      </c>
      <c r="P59" s="83">
        <f>IF(P53="",0,MAX($E59:O59)+1)</f>
        <v>0</v>
      </c>
      <c r="Q59" s="83">
        <f>IF(Q53="",0,MAX($E59:P59)+1)</f>
        <v>0</v>
      </c>
      <c r="R59" s="83">
        <f>IF(R53="",0,MAX($E59:Q59)+1)</f>
        <v>0</v>
      </c>
      <c r="S59" s="83">
        <f>IF(S53="",0,MAX($E59:R59)+1)</f>
        <v>0</v>
      </c>
      <c r="T59" s="83">
        <f>IF(T53="",0,MAX($E59:S59)+1)</f>
        <v>0</v>
      </c>
      <c r="U59" s="83">
        <f>IF(U53="",0,MAX($E59:T59)+1)</f>
        <v>0</v>
      </c>
      <c r="V59" s="83">
        <f>IF(V53="",0,MAX($E59:U59)+1)</f>
        <v>0</v>
      </c>
      <c r="W59" s="83">
        <f>IF(W53="",0,MAX($E59:V59)+1)</f>
        <v>0</v>
      </c>
      <c r="X59" s="83">
        <f>IF(X53="",0,MAX($E59:W59)+1)</f>
        <v>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/>
      </c>
      <c r="L60" s="83" t="str">
        <f t="shared" si="2"/>
        <v/>
      </c>
      <c r="M60" s="83" t="str">
        <f t="shared" si="2"/>
        <v/>
      </c>
      <c r="N60" s="83" t="str">
        <f t="shared" si="2"/>
        <v/>
      </c>
      <c r="O60" s="83" t="str">
        <f t="shared" si="2"/>
        <v/>
      </c>
      <c r="P60" s="83" t="str">
        <f t="shared" si="2"/>
        <v/>
      </c>
      <c r="Q60" s="83" t="str">
        <f t="shared" si="2"/>
        <v/>
      </c>
      <c r="R60" s="83" t="str">
        <f t="shared" si="2"/>
        <v/>
      </c>
      <c r="S60" s="83" t="str">
        <f t="shared" si="2"/>
        <v/>
      </c>
      <c r="T60" s="83" t="str">
        <f t="shared" si="2"/>
        <v/>
      </c>
      <c r="U60" s="83" t="str">
        <f t="shared" si="2"/>
        <v/>
      </c>
      <c r="V60" s="83" t="str">
        <f t="shared" si="2"/>
        <v/>
      </c>
      <c r="W60" s="83" t="str">
        <f t="shared" si="2"/>
        <v/>
      </c>
      <c r="X60" s="83" t="str">
        <f t="shared" si="2"/>
        <v/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6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3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4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5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6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7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TCN_保存提交_001</vt:lpstr>
      <vt:lpstr>TCN_保存提交_002</vt:lpstr>
      <vt:lpstr>TCN_删除_003</vt:lpstr>
      <vt:lpstr>TCN_保存提交_001!Print_Area</vt:lpstr>
      <vt:lpstr>TCN_保存提交_002!Print_Area</vt:lpstr>
      <vt:lpstr>TCN_删除_003!Print_Area</vt:lpstr>
    </vt:vector>
  </TitlesOfParts>
  <Company>iVision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YuYang</dc:creator>
  <cp:lastModifiedBy>zhangjia</cp:lastModifiedBy>
  <cp:lastPrinted>2006-07-29T07:06:57Z</cp:lastPrinted>
  <dcterms:created xsi:type="dcterms:W3CDTF">2000-01-12T07:37:42Z</dcterms:created>
  <dcterms:modified xsi:type="dcterms:W3CDTF">2014-08-13T02:25:03Z</dcterms:modified>
</cp:coreProperties>
</file>