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505" yWindow="750" windowWidth="14835" windowHeight="9480" tabRatio="922" activeTab="2"/>
  </bookViews>
  <sheets>
    <sheet name="TCN_保存提交_001" sheetId="153" r:id="rId1"/>
    <sheet name="TCN_保存提交_002" sheetId="155" r:id="rId2"/>
    <sheet name="TCN_删除_003" sheetId="156" r:id="rId3"/>
  </sheets>
  <functionGroups builtInGroupCount="17"/>
  <definedNames>
    <definedName name="_xlnm.Print_Area" localSheetId="0">TCN_保存提交_001!$A$1:$X$58</definedName>
    <definedName name="_xlnm.Print_Area" localSheetId="1">TCN_保存提交_002!$A$1:$X$58</definedName>
    <definedName name="_xlnm.Print_Area" localSheetId="2">TCN_删除_003!$A$1:$X$58</definedName>
  </definedNames>
  <calcPr calcId="145621"/>
</workbook>
</file>

<file path=xl/calcChain.xml><?xml version="1.0" encoding="utf-8"?>
<calcChain xmlns="http://schemas.openxmlformats.org/spreadsheetml/2006/main">
  <c r="X53" i="156" l="1"/>
  <c r="X60" i="156" s="1"/>
  <c r="W53" i="156"/>
  <c r="W60" i="156" s="1"/>
  <c r="V53" i="156"/>
  <c r="V60" i="156" s="1"/>
  <c r="U53" i="156"/>
  <c r="U60" i="156" s="1"/>
  <c r="T53" i="156"/>
  <c r="T60" i="156" s="1"/>
  <c r="S53" i="156"/>
  <c r="S60" i="156" s="1"/>
  <c r="R53" i="156"/>
  <c r="R60" i="156" s="1"/>
  <c r="Q53" i="156"/>
  <c r="Q60" i="156" s="1"/>
  <c r="P53" i="156"/>
  <c r="P60" i="156" s="1"/>
  <c r="O53" i="156"/>
  <c r="O60" i="156" s="1"/>
  <c r="N53" i="156"/>
  <c r="N60" i="156" s="1"/>
  <c r="M53" i="156"/>
  <c r="M60" i="156" s="1"/>
  <c r="L53" i="156"/>
  <c r="L60" i="156" s="1"/>
  <c r="K53" i="156"/>
  <c r="K60" i="156" s="1"/>
  <c r="J53" i="156"/>
  <c r="J60" i="156" s="1"/>
  <c r="I53" i="156"/>
  <c r="I60" i="156" s="1"/>
  <c r="H53" i="156"/>
  <c r="H60" i="156" s="1"/>
  <c r="G53" i="156"/>
  <c r="G60" i="156" s="1"/>
  <c r="F53" i="156"/>
  <c r="F60" i="156" s="1"/>
  <c r="E53" i="156"/>
  <c r="E60" i="156" s="1"/>
  <c r="E64" i="156"/>
  <c r="E63" i="156"/>
  <c r="E62" i="156"/>
  <c r="E61" i="156"/>
  <c r="X53" i="155" l="1"/>
  <c r="X60" i="155" s="1"/>
  <c r="W53" i="155"/>
  <c r="W60" i="155" s="1"/>
  <c r="V53" i="155"/>
  <c r="V60" i="155" s="1"/>
  <c r="U53" i="155"/>
  <c r="U60" i="155" s="1"/>
  <c r="T53" i="155"/>
  <c r="T60" i="155" s="1"/>
  <c r="S53" i="155"/>
  <c r="S60" i="155" s="1"/>
  <c r="R53" i="155"/>
  <c r="R60" i="155" s="1"/>
  <c r="Q53" i="155"/>
  <c r="Q60" i="155" s="1"/>
  <c r="P53" i="155"/>
  <c r="P60" i="155" s="1"/>
  <c r="O53" i="155"/>
  <c r="O60" i="155" s="1"/>
  <c r="N53" i="155"/>
  <c r="N60" i="155" s="1"/>
  <c r="M53" i="155"/>
  <c r="M60" i="155" s="1"/>
  <c r="L53" i="155"/>
  <c r="L60" i="155" s="1"/>
  <c r="K53" i="155"/>
  <c r="K60" i="155" s="1"/>
  <c r="J53" i="155"/>
  <c r="J60" i="155" s="1"/>
  <c r="I53" i="155"/>
  <c r="I60" i="155" s="1"/>
  <c r="H53" i="155"/>
  <c r="H60" i="155" s="1"/>
  <c r="G53" i="155"/>
  <c r="G60" i="155" s="1"/>
  <c r="F53" i="155"/>
  <c r="F60" i="155" s="1"/>
  <c r="E53" i="155"/>
  <c r="E60" i="155" s="1"/>
  <c r="E61" i="155"/>
  <c r="E64" i="155"/>
  <c r="E59" i="156"/>
  <c r="E63" i="155"/>
  <c r="E62" i="155"/>
  <c r="E7" i="156" l="1"/>
  <c r="F59" i="156"/>
  <c r="F7" i="156" s="1"/>
  <c r="X53" i="153"/>
  <c r="X60" i="153" s="1"/>
  <c r="W53" i="153"/>
  <c r="W60" i="153" s="1"/>
  <c r="V53" i="153"/>
  <c r="V60" i="153" s="1"/>
  <c r="U53" i="153"/>
  <c r="U60" i="153" s="1"/>
  <c r="T53" i="153"/>
  <c r="T60" i="153" s="1"/>
  <c r="S53" i="153"/>
  <c r="S60" i="153" s="1"/>
  <c r="R53" i="153"/>
  <c r="R60" i="153" s="1"/>
  <c r="Q53" i="153"/>
  <c r="Q60" i="153" s="1"/>
  <c r="P53" i="153"/>
  <c r="P60" i="153" s="1"/>
  <c r="O53" i="153"/>
  <c r="O60" i="153" s="1"/>
  <c r="N53" i="153"/>
  <c r="N60" i="153" s="1"/>
  <c r="M53" i="153"/>
  <c r="M60" i="153" s="1"/>
  <c r="L53" i="153"/>
  <c r="L60" i="153" s="1"/>
  <c r="K53" i="153"/>
  <c r="K60" i="153" s="1"/>
  <c r="J53" i="153"/>
  <c r="J60" i="153" s="1"/>
  <c r="I53" i="153"/>
  <c r="I60" i="153" s="1"/>
  <c r="H53" i="153"/>
  <c r="H60" i="153" s="1"/>
  <c r="G53" i="153"/>
  <c r="G60" i="153" s="1"/>
  <c r="F53" i="153"/>
  <c r="F60" i="153" s="1"/>
  <c r="E53" i="153"/>
  <c r="E60" i="153" s="1"/>
  <c r="E61" i="153"/>
  <c r="E59" i="155"/>
  <c r="E64" i="153"/>
  <c r="E59" i="153"/>
  <c r="E63" i="153"/>
  <c r="E62" i="153"/>
  <c r="G59" i="156" l="1"/>
  <c r="E7" i="155"/>
  <c r="F59" i="155"/>
  <c r="F7" i="155" s="1"/>
  <c r="E7" i="153"/>
  <c r="F59" i="153"/>
  <c r="F7" i="153" s="1"/>
  <c r="G7" i="156" l="1"/>
  <c r="H59" i="156"/>
  <c r="G59" i="155"/>
  <c r="H59" i="155" s="1"/>
  <c r="G59" i="153"/>
  <c r="H7" i="156" l="1"/>
  <c r="I59" i="156"/>
  <c r="H7" i="155"/>
  <c r="G7" i="155"/>
  <c r="I59" i="155"/>
  <c r="I7" i="155" s="1"/>
  <c r="G7" i="153"/>
  <c r="H59" i="153"/>
  <c r="I7" i="156" l="1"/>
  <c r="J59" i="156"/>
  <c r="J59" i="155"/>
  <c r="J7" i="155" s="1"/>
  <c r="H7" i="153"/>
  <c r="I59" i="153"/>
  <c r="J59" i="153" s="1"/>
  <c r="J7" i="153" s="1"/>
  <c r="J7" i="156" l="1"/>
  <c r="K59" i="156"/>
  <c r="L59" i="156" s="1"/>
  <c r="K59" i="155"/>
  <c r="K7" i="155" s="1"/>
  <c r="K59" i="153"/>
  <c r="K7" i="153" s="1"/>
  <c r="I7" i="153"/>
  <c r="L7" i="156" l="1"/>
  <c r="M59" i="156"/>
  <c r="K7" i="156"/>
  <c r="L59" i="155"/>
  <c r="L7" i="155" s="1"/>
  <c r="L59" i="153"/>
  <c r="L7" i="153" s="1"/>
  <c r="M7" i="156" l="1"/>
  <c r="N59" i="156"/>
  <c r="M59" i="155"/>
  <c r="M7" i="155" s="1"/>
  <c r="M59" i="153"/>
  <c r="M7" i="153" s="1"/>
  <c r="N7" i="156" l="1"/>
  <c r="O59" i="156"/>
  <c r="N59" i="155"/>
  <c r="N7" i="155" s="1"/>
  <c r="N59" i="153"/>
  <c r="N7" i="153" s="1"/>
  <c r="O7" i="156" l="1"/>
  <c r="P59" i="156"/>
  <c r="O59" i="155"/>
  <c r="O7" i="155" s="1"/>
  <c r="O59" i="153"/>
  <c r="O7" i="153" s="1"/>
  <c r="P7" i="156" l="1"/>
  <c r="Q59" i="156"/>
  <c r="P59" i="155"/>
  <c r="P7" i="155" s="1"/>
  <c r="P59" i="153"/>
  <c r="Q59" i="153" s="1"/>
  <c r="Q7" i="156" l="1"/>
  <c r="R59" i="156"/>
  <c r="Q59" i="155"/>
  <c r="Q7" i="155" s="1"/>
  <c r="P7" i="153"/>
  <c r="Q7" i="153"/>
  <c r="R59" i="153"/>
  <c r="R7" i="156" l="1"/>
  <c r="S59" i="156"/>
  <c r="R59" i="155"/>
  <c r="R7" i="155" s="1"/>
  <c r="R7" i="153"/>
  <c r="S59" i="153"/>
  <c r="S7" i="156" l="1"/>
  <c r="T59" i="156"/>
  <c r="S59" i="155"/>
  <c r="S7" i="155" s="1"/>
  <c r="S7" i="153"/>
  <c r="T59" i="153"/>
  <c r="T7" i="156" l="1"/>
  <c r="U59" i="156"/>
  <c r="T59" i="155"/>
  <c r="T7" i="155" s="1"/>
  <c r="T7" i="153"/>
  <c r="U59" i="153"/>
  <c r="U7" i="156" l="1"/>
  <c r="V59" i="156"/>
  <c r="U59" i="155"/>
  <c r="U7" i="155" s="1"/>
  <c r="U7" i="153"/>
  <c r="V59" i="153"/>
  <c r="V7" i="156" l="1"/>
  <c r="W59" i="156"/>
  <c r="V59" i="155"/>
  <c r="V7" i="155" s="1"/>
  <c r="V7" i="153"/>
  <c r="W59" i="153"/>
  <c r="W7" i="156" l="1"/>
  <c r="X59" i="156"/>
  <c r="X7" i="156" s="1"/>
  <c r="W59" i="155"/>
  <c r="W7" i="155" s="1"/>
  <c r="W7" i="153"/>
  <c r="X59" i="153"/>
  <c r="X7" i="153" s="1"/>
  <c r="X59" i="155" l="1"/>
  <c r="X7" i="155" s="1"/>
</calcChain>
</file>

<file path=xl/sharedStrings.xml><?xml version="1.0" encoding="utf-8"?>
<sst xmlns="http://schemas.openxmlformats.org/spreadsheetml/2006/main" count="439" uniqueCount="143">
  <si>
    <t>作  成</t>
  </si>
  <si>
    <t>正常件数</t>
    <rPh sb="0" eb="2">
      <t>セイジョウ</t>
    </rPh>
    <rPh sb="2" eb="4">
      <t>ケンスウ</t>
    </rPh>
    <phoneticPr fontId="2"/>
  </si>
  <si>
    <t>異常件数</t>
    <rPh sb="0" eb="2">
      <t>イジョウ</t>
    </rPh>
    <rPh sb="2" eb="4">
      <t>ケンスウ</t>
    </rPh>
    <phoneticPr fontId="2"/>
  </si>
  <si>
    <t>境界件数</t>
    <rPh sb="0" eb="2">
      <t>キョウカイ</t>
    </rPh>
    <rPh sb="2" eb="4">
      <t>ケンスウ</t>
    </rPh>
    <phoneticPr fontId="2"/>
  </si>
  <si>
    <t>テスト工程</t>
    <rPh sb="3" eb="5">
      <t>コウテイ</t>
    </rPh>
    <phoneticPr fontId="2"/>
  </si>
  <si>
    <t>状態</t>
    <rPh sb="0" eb="2">
      <t>ジョウタイ</t>
    </rPh>
    <phoneticPr fontId="2"/>
  </si>
  <si>
    <t>ヘッダ文字</t>
    <rPh sb="3" eb="5">
      <t>モジ</t>
    </rPh>
    <phoneticPr fontId="2"/>
  </si>
  <si>
    <t>IF件数</t>
    <rPh sb="2" eb="4">
      <t>ケンスウ</t>
    </rPh>
    <phoneticPr fontId="2"/>
  </si>
  <si>
    <t>○ ○</t>
    <phoneticPr fontId="2"/>
  </si>
  <si>
    <t>000</t>
    <phoneticPr fontId="2"/>
  </si>
  <si>
    <t>CL-ID番号</t>
    <rPh sb="0" eb="7">
      <t>バンゴウ</t>
    </rPh>
    <phoneticPr fontId="2"/>
  </si>
  <si>
    <t>P.1</t>
    <phoneticPr fontId="2"/>
  </si>
  <si>
    <t>CLシート名</t>
    <rPh sb="0" eb="6">
      <t>メイ</t>
    </rPh>
    <phoneticPr fontId="2"/>
  </si>
  <si>
    <t>C</t>
  </si>
  <si>
    <t>L</t>
  </si>
  <si>
    <t>情</t>
  </si>
  <si>
    <t>報</t>
  </si>
  <si>
    <t>FrontSystem on GBS for TCN</t>
    <phoneticPr fontId="2"/>
  </si>
  <si>
    <t>FunctionID</t>
    <phoneticPr fontId="2"/>
  </si>
  <si>
    <t>Unit Check List</t>
    <phoneticPr fontId="2"/>
  </si>
  <si>
    <t>Title</t>
    <phoneticPr fontId="2"/>
  </si>
  <si>
    <t>检查条件/确认内容</t>
    <phoneticPr fontId="2"/>
  </si>
  <si>
    <r>
      <rPr>
        <sz val="9"/>
        <rFont val="ＭＳ Ｐゴシック"/>
        <family val="2"/>
        <charset val="128"/>
      </rPr>
      <t>ﾁｪｯｸ</t>
    </r>
    <r>
      <rPr>
        <sz val="9"/>
        <rFont val="华文细黑"/>
        <family val="3"/>
        <charset val="134"/>
      </rPr>
      <t>ID</t>
    </r>
  </si>
  <si>
    <t>检查条件</t>
    <phoneticPr fontId="2"/>
  </si>
  <si>
    <t>确认内容</t>
    <phoneticPr fontId="2"/>
  </si>
  <si>
    <t>测试名称</t>
    <phoneticPr fontId="2"/>
  </si>
  <si>
    <t>模块名称</t>
    <phoneticPr fontId="2"/>
  </si>
  <si>
    <t>RFC管理号码</t>
    <phoneticPr fontId="2"/>
  </si>
  <si>
    <t>确认</t>
    <phoneticPr fontId="2"/>
  </si>
  <si>
    <t>确认人            REVIEW人</t>
    <phoneticPr fontId="2"/>
  </si>
  <si>
    <t>备注</t>
    <phoneticPr fontId="2"/>
  </si>
  <si>
    <t>测试式样书号</t>
    <phoneticPr fontId="2"/>
  </si>
  <si>
    <t>正常/异常
范围/接口</t>
    <phoneticPr fontId="2"/>
  </si>
  <si>
    <t>确认日</t>
    <phoneticPr fontId="2"/>
  </si>
  <si>
    <t>Review日</t>
    <phoneticPr fontId="2"/>
  </si>
  <si>
    <t>N:正常, E:异常, L:范围, I:接口</t>
    <phoneticPr fontId="2"/>
  </si>
  <si>
    <t>UT</t>
    <phoneticPr fontId="2"/>
  </si>
  <si>
    <t>TCN</t>
    <phoneticPr fontId="2"/>
  </si>
  <si>
    <t>IV_CL</t>
    <phoneticPr fontId="2"/>
  </si>
  <si>
    <t>审批</t>
    <phoneticPr fontId="2"/>
  </si>
  <si>
    <t>审查</t>
    <phoneticPr fontId="2"/>
  </si>
  <si>
    <r>
      <rPr>
        <sz val="9"/>
        <rFont val="ＭＳ Ｐゴシック"/>
        <family val="2"/>
        <charset val="128"/>
      </rPr>
      <t>ﾌﾟﾛｸﾞﾗﾑﾀｲﾌﾟ</t>
    </r>
    <phoneticPr fontId="2"/>
  </si>
  <si>
    <t>○</t>
    <phoneticPr fontId="8" type="noConversion"/>
  </si>
  <si>
    <t>总计：60</t>
    <phoneticPr fontId="8" type="noConversion"/>
  </si>
  <si>
    <t xml:space="preserve">    15)</t>
  </si>
  <si>
    <t xml:space="preserve">    16)</t>
  </si>
  <si>
    <t xml:space="preserve">    17)</t>
  </si>
  <si>
    <t xml:space="preserve">    18)</t>
  </si>
  <si>
    <t xml:space="preserve">    19)</t>
  </si>
  <si>
    <t xml:space="preserve">    20)</t>
  </si>
  <si>
    <t>○</t>
    <phoneticPr fontId="8" type="noConversion"/>
  </si>
  <si>
    <t xml:space="preserve">    14)</t>
    <phoneticPr fontId="8" type="noConversion"/>
  </si>
  <si>
    <t xml:space="preserve">    1)用户ID</t>
    <phoneticPr fontId="8" type="noConversion"/>
  </si>
  <si>
    <t xml:space="preserve">    2)合计休息天数</t>
    <phoneticPr fontId="8" type="noConversion"/>
  </si>
  <si>
    <t xml:space="preserve">    3)备注</t>
    <phoneticPr fontId="8" type="noConversion"/>
  </si>
  <si>
    <t xml:space="preserve">    4)明细行，从0开始</t>
    <phoneticPr fontId="8" type="noConversion"/>
  </si>
  <si>
    <t xml:space="preserve">    6)开始时间</t>
    <phoneticPr fontId="8" type="noConversion"/>
  </si>
  <si>
    <t xml:space="preserve">    7)结束时间</t>
    <phoneticPr fontId="8" type="noConversion"/>
  </si>
  <si>
    <t xml:space="preserve">    8)合计小时</t>
    <phoneticPr fontId="8" type="noConversion"/>
  </si>
  <si>
    <t xml:space="preserve">    9)休假类型</t>
    <phoneticPr fontId="8" type="noConversion"/>
  </si>
  <si>
    <t xml:space="preserve">    10)拆分行号</t>
    <phoneticPr fontId="8" type="noConversion"/>
  </si>
  <si>
    <t xml:space="preserve">    12)</t>
    <phoneticPr fontId="8" type="noConversion"/>
  </si>
  <si>
    <t xml:space="preserve">    13)</t>
    <phoneticPr fontId="8" type="noConversion"/>
  </si>
  <si>
    <t xml:space="preserve">    11)明细合计行数</t>
    <phoneticPr fontId="8" type="noConversion"/>
  </si>
  <si>
    <t>○</t>
  </si>
  <si>
    <t>○</t>
    <phoneticPr fontId="8" type="noConversion"/>
  </si>
  <si>
    <t xml:space="preserve">    5)申请休息日</t>
    <phoneticPr fontId="8" type="noConversion"/>
  </si>
  <si>
    <t>1-1-4)申请休息日为空</t>
    <phoneticPr fontId="8" type="noConversion"/>
  </si>
  <si>
    <t>1-1-6)休假种类=1 且 合计休息天数&gt;有薪假剩余天数</t>
    <phoneticPr fontId="8" type="noConversion"/>
  </si>
  <si>
    <t>1-1）休假申请字段（确认下面休假申请提交的字段）</t>
    <phoneticPr fontId="8" type="noConversion"/>
  </si>
  <si>
    <t>1-1-17)结束时间格式为：hhmm</t>
    <phoneticPr fontId="8" type="noConversion"/>
  </si>
  <si>
    <t>1-1-16)结束时间格式不为：hhmm</t>
    <phoneticPr fontId="8" type="noConversion"/>
  </si>
  <si>
    <t>1-1-15)开始时间格式为：hhmm</t>
    <phoneticPr fontId="8" type="noConversion"/>
  </si>
  <si>
    <t>1-1-14)开始时间格式不为：hhmm</t>
    <phoneticPr fontId="8" type="noConversion"/>
  </si>
  <si>
    <t>1-1-13)申请休息日格式为：yyyymmdd</t>
    <phoneticPr fontId="8" type="noConversion"/>
  </si>
  <si>
    <t>1-1-12)申请休息日格式不为：yyyymmdd</t>
    <phoneticPr fontId="8" type="noConversion"/>
  </si>
  <si>
    <t>1-1-8)休假种类=1 且 合计休息天数&lt;有薪假剩余天数</t>
    <phoneticPr fontId="8" type="noConversion"/>
  </si>
  <si>
    <t>1-1-7)休假种类=1 且 合计休息天数=有薪假剩余天数</t>
    <phoneticPr fontId="8" type="noConversion"/>
  </si>
  <si>
    <t>1-1-5)申请休息日不为空</t>
    <phoneticPr fontId="8" type="noConversion"/>
  </si>
  <si>
    <t>1-1-3)休假类型 = 2</t>
    <phoneticPr fontId="8" type="noConversion"/>
  </si>
  <si>
    <t>1-1-2)休假类型 = 1</t>
    <phoneticPr fontId="8" type="noConversion"/>
  </si>
  <si>
    <t xml:space="preserve">    11)明细合计行数</t>
    <phoneticPr fontId="8" type="noConversion"/>
  </si>
  <si>
    <t>1-1-9)休假种类=2 且 合计休息天数&gt;调休剩余天数</t>
    <phoneticPr fontId="8" type="noConversion"/>
  </si>
  <si>
    <t>1-1-10)休假种类=2 且 合计休息天数=调休剩余天数</t>
    <phoneticPr fontId="8" type="noConversion"/>
  </si>
  <si>
    <t xml:space="preserve">    10)拆分行号</t>
    <phoneticPr fontId="8" type="noConversion"/>
  </si>
  <si>
    <t>1-1-18)开始时间&lt;考勤起始时间 且 结束时间&lt;考勤结束时间</t>
    <phoneticPr fontId="8" type="noConversion"/>
  </si>
  <si>
    <t>1-1-19)开始时间=考勤起始时间 且 结束时间=考勤结束时间</t>
    <phoneticPr fontId="8" type="noConversion"/>
  </si>
  <si>
    <t>1-1-20)开始时间&gt;考勤起始时间 且 结束时间&gt;考勤结束时间</t>
    <phoneticPr fontId="8" type="noConversion"/>
  </si>
  <si>
    <t>1-1-11)休假种类=2 且 合计休息天数&lt;调休剩余天数</t>
    <phoneticPr fontId="8" type="noConversion"/>
  </si>
  <si>
    <t>○ ○</t>
    <phoneticPr fontId="2"/>
  </si>
  <si>
    <t>确认人            REVIEW人</t>
    <phoneticPr fontId="2"/>
  </si>
  <si>
    <t xml:space="preserve">    1)用户ID</t>
    <phoneticPr fontId="8" type="noConversion"/>
  </si>
  <si>
    <t xml:space="preserve">    3)</t>
    <phoneticPr fontId="8" type="noConversion"/>
  </si>
  <si>
    <t xml:space="preserve">    4)</t>
  </si>
  <si>
    <t xml:space="preserve">    5)</t>
  </si>
  <si>
    <t xml:space="preserve">    6)</t>
  </si>
  <si>
    <t xml:space="preserve">    7)</t>
  </si>
  <si>
    <t xml:space="preserve">    8)</t>
  </si>
  <si>
    <t xml:space="preserve">    9)</t>
  </si>
  <si>
    <t xml:space="preserve">    10)</t>
  </si>
  <si>
    <t xml:space="preserve">    11)</t>
  </si>
  <si>
    <t xml:space="preserve">    2)休假申请编号</t>
  </si>
  <si>
    <t>1-2-2)开始时间=考勤起始时间 且 结束时间&gt;考勤结束时间</t>
    <phoneticPr fontId="8" type="noConversion"/>
  </si>
  <si>
    <t>1-2-3)开始时间&gt;考勤起始时间 且 结束时间&lt;考勤结束时间</t>
    <phoneticPr fontId="8" type="noConversion"/>
  </si>
  <si>
    <t>1-2-4)结束时间-开始时间&lt;起始单位</t>
    <phoneticPr fontId="8" type="noConversion"/>
  </si>
  <si>
    <t>1-2-5)结束时间-开始时间=起始单位</t>
    <phoneticPr fontId="8" type="noConversion"/>
  </si>
  <si>
    <t>1-2-7)结束时间-开始时间&lt;&gt;最小单位的倍数</t>
    <phoneticPr fontId="8" type="noConversion"/>
  </si>
  <si>
    <t>1-2-9)申请休息日不为出勤日</t>
    <phoneticPr fontId="8" type="noConversion"/>
  </si>
  <si>
    <t>1-2-11)开始时间~结束时间为出勤日的正常出勤时间内</t>
    <phoneticPr fontId="8" type="noConversion"/>
  </si>
  <si>
    <t>1-2-13)明细合计行数&gt;1 且 申请休息日跨月</t>
    <phoneticPr fontId="8" type="noConversion"/>
  </si>
  <si>
    <t>1-2-15)明细合计行数&gt;1 且 申请休息日不相同</t>
    <phoneticPr fontId="8" type="noConversion"/>
  </si>
  <si>
    <t>1-2-17)明细合计行数&gt;1 且 申请休息日相同 且 时间不重叠</t>
    <phoneticPr fontId="8" type="noConversion"/>
  </si>
  <si>
    <t>1-2-19)休假时间和其他工时/加班/休假时间不冲突</t>
    <phoneticPr fontId="8" type="noConversion"/>
  </si>
  <si>
    <t>1-2-6)结束时间-开始时间&gt;起始单位</t>
    <phoneticPr fontId="8" type="noConversion"/>
  </si>
  <si>
    <t>1-2-8)结束时间-开始时间=最小单位的倍数</t>
    <phoneticPr fontId="8" type="noConversion"/>
  </si>
  <si>
    <t>1-2-10)申请休息日为出勤日</t>
    <phoneticPr fontId="8" type="noConversion"/>
  </si>
  <si>
    <t>1-2-12)开始时间~结束时间为出勤日的正常出勤时间外</t>
    <phoneticPr fontId="8" type="noConversion"/>
  </si>
  <si>
    <t>1-2-14)明细合计行数&gt;1 且 申请休息日不跨月</t>
    <phoneticPr fontId="8" type="noConversion"/>
  </si>
  <si>
    <t>1-2-16)明细合计行数&gt;1 且 申请休息日相同 且 时间重叠</t>
    <phoneticPr fontId="8" type="noConversion"/>
  </si>
  <si>
    <t>1-2-18)休假时间和其他工时/加班/休假时间冲突</t>
    <phoneticPr fontId="8" type="noConversion"/>
  </si>
  <si>
    <t>1-2-20)结束时间&gt;开始时间</t>
    <phoneticPr fontId="8" type="noConversion"/>
  </si>
  <si>
    <t>1-3-3)休假申请已承认</t>
    <phoneticPr fontId="8" type="noConversion"/>
  </si>
  <si>
    <t>1-3-5)休假申请已驳回</t>
    <phoneticPr fontId="8" type="noConversion"/>
  </si>
  <si>
    <t>1-3-7)用户ID存在 且 用户ID与休假申请编号不匹配</t>
    <phoneticPr fontId="8" type="noConversion"/>
  </si>
  <si>
    <t>1-3-2)休假申请未承认</t>
    <phoneticPr fontId="8" type="noConversion"/>
  </si>
  <si>
    <t>1-3-4)休假申请编号为空</t>
    <phoneticPr fontId="8" type="noConversion"/>
  </si>
  <si>
    <t>1-3-6)休假申请未提交</t>
    <phoneticPr fontId="8" type="noConversion"/>
  </si>
  <si>
    <t>1-3-8)用户ID存在 且 用户ID与休假申请编号匹配</t>
    <phoneticPr fontId="8" type="noConversion"/>
  </si>
  <si>
    <t>1-3-10)</t>
    <phoneticPr fontId="8" type="noConversion"/>
  </si>
  <si>
    <t>1-3-12)</t>
    <phoneticPr fontId="8" type="noConversion"/>
  </si>
  <si>
    <t>1-3-14)</t>
    <phoneticPr fontId="8" type="noConversion"/>
  </si>
  <si>
    <t>1-3-16)</t>
    <phoneticPr fontId="8" type="noConversion"/>
  </si>
  <si>
    <t>1-3-18)</t>
    <phoneticPr fontId="8" type="noConversion"/>
  </si>
  <si>
    <t>1-3-20)</t>
    <phoneticPr fontId="8" type="noConversion"/>
  </si>
  <si>
    <t>1-3-9)</t>
    <phoneticPr fontId="8" type="noConversion"/>
  </si>
  <si>
    <t>1-3-11)</t>
    <phoneticPr fontId="8" type="noConversion"/>
  </si>
  <si>
    <t>1-3-13)</t>
    <phoneticPr fontId="8" type="noConversion"/>
  </si>
  <si>
    <t>1-3-15)</t>
    <phoneticPr fontId="8" type="noConversion"/>
  </si>
  <si>
    <t>1-3-17)</t>
    <phoneticPr fontId="8" type="noConversion"/>
  </si>
  <si>
    <t>1-3-19)</t>
    <phoneticPr fontId="8" type="noConversion"/>
  </si>
  <si>
    <t>1-1-1)休假类型 &lt;&gt; 1 且 &lt;&gt; 2</t>
    <phoneticPr fontId="8" type="noConversion"/>
  </si>
  <si>
    <t>1-2-1)开始时间&lt;考勤起始时间 且 结束时间=考勤结束时间</t>
    <phoneticPr fontId="8" type="noConversion"/>
  </si>
  <si>
    <t>1-3-1)休假申请编号不存在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</si>
</sst>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Blue]&quot;N&quot;0000;[Red]&quot;E&quot;0000;;[Blue]General"/>
    <numFmt numFmtId="177" formatCode="m/d;@"/>
  </numFmts>
  <fonts count="10">
    <font>
      <sz val="11"/>
      <name val="明朝"/>
      <family val="1"/>
      <charset val="128"/>
    </font>
    <font>
      <sz val="9"/>
      <name val="ＭＳ Ｐゴシック"/>
      <family val="2"/>
      <charset val="128"/>
    </font>
    <font>
      <sz val="6"/>
      <name val="明朝"/>
      <family val="3"/>
      <charset val="128"/>
    </font>
    <font>
      <sz val="9"/>
      <name val="华文细黑"/>
      <family val="3"/>
      <charset val="134"/>
    </font>
    <font>
      <b/>
      <sz val="9"/>
      <name val="华文细黑"/>
      <family val="3"/>
      <charset val="134"/>
    </font>
    <font>
      <sz val="6"/>
      <name val="华文细黑"/>
      <family val="3"/>
      <charset val="134"/>
    </font>
    <font>
      <sz val="48"/>
      <name val="华文细黑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ＭＳ Ｐ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3" fillId="0" borderId="0" xfId="0" applyFont="1" applyProtection="1">
      <protection locked="0"/>
    </xf>
    <xf numFmtId="0" fontId="3" fillId="0" borderId="1" xfId="0" applyFont="1" applyBorder="1" applyAlignment="1" applyProtection="1">
      <alignment horizontal="centerContinuous"/>
      <protection locked="0"/>
    </xf>
    <xf numFmtId="0" fontId="3" fillId="0" borderId="2" xfId="0" applyFont="1" applyBorder="1" applyAlignment="1" applyProtection="1">
      <alignment horizontal="centerContinuous"/>
      <protection locked="0"/>
    </xf>
    <xf numFmtId="0" fontId="3" fillId="0" borderId="3" xfId="0" applyFont="1" applyBorder="1" applyAlignment="1" applyProtection="1">
      <alignment horizontal="centerContinuous"/>
      <protection locked="0"/>
    </xf>
    <xf numFmtId="0" fontId="3" fillId="0" borderId="4" xfId="0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3" fillId="0" borderId="5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0" borderId="6" xfId="0" applyFont="1" applyBorder="1" applyProtection="1">
      <protection locked="0"/>
    </xf>
    <xf numFmtId="0" fontId="3" fillId="0" borderId="7" xfId="0" applyFont="1" applyBorder="1" applyProtection="1">
      <protection locked="0"/>
    </xf>
    <xf numFmtId="0" fontId="3" fillId="0" borderId="8" xfId="0" applyFont="1" applyBorder="1" applyProtection="1">
      <protection locked="0"/>
    </xf>
    <xf numFmtId="0" fontId="3" fillId="0" borderId="9" xfId="0" applyFont="1" applyBorder="1" applyAlignment="1" applyProtection="1">
      <alignment horizontal="centerContinuous" vertical="center"/>
      <protection locked="0"/>
    </xf>
    <xf numFmtId="0" fontId="4" fillId="0" borderId="10" xfId="0" applyFont="1" applyBorder="1" applyAlignment="1" applyProtection="1">
      <alignment horizontal="centerContinuous" vertical="center"/>
      <protection locked="0"/>
    </xf>
    <xf numFmtId="0" fontId="3" fillId="0" borderId="11" xfId="0" applyFont="1" applyBorder="1" applyAlignment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Continuous" vertical="center"/>
      <protection locked="0"/>
    </xf>
    <xf numFmtId="0" fontId="3" fillId="0" borderId="12" xfId="0" applyFont="1" applyBorder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9" xfId="0" applyFont="1" applyBorder="1" applyAlignment="1" applyProtection="1">
      <protection locked="0"/>
    </xf>
    <xf numFmtId="0" fontId="3" fillId="0" borderId="11" xfId="0" applyFont="1" applyBorder="1" applyAlignment="1" applyProtection="1">
      <protection locked="0"/>
    </xf>
    <xf numFmtId="0" fontId="3" fillId="0" borderId="12" xfId="0" applyFont="1" applyBorder="1" applyAlignment="1" applyProtection="1">
      <alignment horizontal="right" vertical="top"/>
      <protection locked="0"/>
    </xf>
    <xf numFmtId="176" fontId="5" fillId="0" borderId="39" xfId="0" applyNumberFormat="1" applyFont="1" applyBorder="1" applyAlignment="1" applyProtection="1">
      <alignment horizontal="center" vertical="center" textRotation="90"/>
      <protection locked="0"/>
    </xf>
    <xf numFmtId="176" fontId="5" fillId="0" borderId="40" xfId="0" applyNumberFormat="1" applyFont="1" applyBorder="1" applyAlignment="1" applyProtection="1">
      <alignment horizontal="center" vertical="center" textRotation="90"/>
      <protection locked="0"/>
    </xf>
    <xf numFmtId="176" fontId="5" fillId="0" borderId="41" xfId="0" applyNumberFormat="1" applyFont="1" applyBorder="1" applyAlignment="1" applyProtection="1">
      <alignment horizontal="center" vertical="center" textRotation="90"/>
      <protection locked="0"/>
    </xf>
    <xf numFmtId="0" fontId="3" fillId="0" borderId="15" xfId="0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/>
      <protection locked="0"/>
    </xf>
    <xf numFmtId="49" fontId="3" fillId="0" borderId="17" xfId="0" applyNumberFormat="1" applyFont="1" applyBorder="1" applyAlignment="1" applyProtection="1">
      <alignment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20" xfId="0" applyFont="1" applyBorder="1" applyAlignment="1" applyProtection="1">
      <alignment vertical="center"/>
      <protection locked="0"/>
    </xf>
    <xf numFmtId="49" fontId="3" fillId="0" borderId="21" xfId="0" applyNumberFormat="1" applyFont="1" applyBorder="1" applyAlignment="1" applyProtection="1">
      <alignment vertical="center"/>
      <protection locked="0"/>
    </xf>
    <xf numFmtId="49" fontId="3" fillId="0" borderId="22" xfId="0" applyNumberFormat="1" applyFont="1" applyBorder="1" applyAlignment="1" applyProtection="1">
      <alignment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42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vertical="center"/>
      <protection locked="0"/>
    </xf>
    <xf numFmtId="49" fontId="3" fillId="0" borderId="7" xfId="0" applyNumberFormat="1" applyFont="1" applyBorder="1" applyAlignment="1" applyProtection="1">
      <alignment vertical="center"/>
      <protection locked="0"/>
    </xf>
    <xf numFmtId="49" fontId="3" fillId="0" borderId="8" xfId="0" applyNumberFormat="1" applyFont="1" applyBorder="1" applyAlignment="1" applyProtection="1">
      <alignment vertical="center"/>
      <protection locked="0"/>
    </xf>
    <xf numFmtId="0" fontId="3" fillId="0" borderId="26" xfId="0" applyFont="1" applyBorder="1" applyAlignment="1" applyProtection="1">
      <alignment horizontal="center" vertical="center"/>
      <protection locked="0"/>
    </xf>
    <xf numFmtId="0" fontId="3" fillId="0" borderId="25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Continuous" vertical="center"/>
      <protection locked="0"/>
    </xf>
    <xf numFmtId="0" fontId="3" fillId="0" borderId="27" xfId="0" applyFont="1" applyBorder="1" applyAlignment="1" applyProtection="1">
      <alignment horizontal="centerContinuous" vertical="center"/>
      <protection locked="0"/>
    </xf>
    <xf numFmtId="49" fontId="3" fillId="0" borderId="3" xfId="0" applyNumberFormat="1" applyFont="1" applyBorder="1" applyAlignment="1" applyProtection="1">
      <alignment vertical="center"/>
      <protection locked="0"/>
    </xf>
    <xf numFmtId="0" fontId="3" fillId="0" borderId="28" xfId="0" applyFont="1" applyBorder="1" applyAlignment="1" applyProtection="1">
      <alignment horizontal="center"/>
      <protection locked="0"/>
    </xf>
    <xf numFmtId="0" fontId="3" fillId="0" borderId="29" xfId="0" applyFont="1" applyBorder="1" applyAlignment="1" applyProtection="1">
      <alignment horizontal="center"/>
      <protection locked="0"/>
    </xf>
    <xf numFmtId="0" fontId="3" fillId="0" borderId="30" xfId="0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Continuous" vertical="center"/>
      <protection locked="0"/>
    </xf>
    <xf numFmtId="0" fontId="3" fillId="0" borderId="32" xfId="0" applyFont="1" applyBorder="1" applyAlignment="1" applyProtection="1">
      <alignment horizontal="centerContinuous" vertical="center"/>
      <protection locked="0"/>
    </xf>
    <xf numFmtId="0" fontId="3" fillId="0" borderId="30" xfId="0" applyFont="1" applyBorder="1" applyAlignment="1" applyProtection="1">
      <alignment vertical="center"/>
      <protection locked="0"/>
    </xf>
    <xf numFmtId="0" fontId="3" fillId="0" borderId="33" xfId="0" applyFont="1" applyBorder="1" applyAlignment="1" applyProtection="1">
      <alignment horizontal="center" vertical="center"/>
      <protection locked="0"/>
    </xf>
    <xf numFmtId="0" fontId="3" fillId="0" borderId="43" xfId="0" applyFont="1" applyBorder="1" applyAlignment="1" applyProtection="1">
      <alignment horizontal="center" vertical="center" textRotation="255"/>
    </xf>
    <xf numFmtId="0" fontId="3" fillId="0" borderId="31" xfId="0" applyFont="1" applyBorder="1" applyAlignment="1" applyProtection="1">
      <alignment vertical="center"/>
      <protection locked="0"/>
    </xf>
    <xf numFmtId="0" fontId="3" fillId="0" borderId="32" xfId="0" applyFont="1" applyBorder="1" applyAlignment="1" applyProtection="1">
      <alignment vertical="center"/>
      <protection locked="0"/>
    </xf>
    <xf numFmtId="177" fontId="3" fillId="0" borderId="28" xfId="0" applyNumberFormat="1" applyFont="1" applyBorder="1" applyAlignment="1" applyProtection="1">
      <alignment textRotation="90"/>
      <protection locked="0"/>
    </xf>
    <xf numFmtId="177" fontId="3" fillId="0" borderId="29" xfId="0" applyNumberFormat="1" applyFont="1" applyBorder="1" applyAlignment="1" applyProtection="1">
      <alignment textRotation="90"/>
      <protection locked="0"/>
    </xf>
    <xf numFmtId="0" fontId="3" fillId="0" borderId="29" xfId="0" applyFont="1" applyBorder="1" applyAlignment="1" applyProtection="1">
      <alignment textRotation="90"/>
      <protection locked="0"/>
    </xf>
    <xf numFmtId="0" fontId="3" fillId="0" borderId="30" xfId="0" applyFont="1" applyBorder="1" applyAlignment="1" applyProtection="1">
      <alignment textRotation="90"/>
      <protection locked="0"/>
    </xf>
    <xf numFmtId="0" fontId="3" fillId="0" borderId="6" xfId="0" applyFont="1" applyBorder="1" applyAlignment="1" applyProtection="1">
      <alignment horizontal="centerContinuous" vertical="center"/>
      <protection locked="0"/>
    </xf>
    <xf numFmtId="0" fontId="3" fillId="0" borderId="34" xfId="0" applyFont="1" applyBorder="1" applyAlignment="1" applyProtection="1">
      <alignment horizontal="centerContinuous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3" fillId="0" borderId="25" xfId="0" applyFont="1" applyBorder="1" applyAlignment="1" applyProtection="1">
      <alignment textRotation="90"/>
      <protection locked="0"/>
    </xf>
    <xf numFmtId="0" fontId="3" fillId="0" borderId="26" xfId="0" applyFont="1" applyBorder="1" applyAlignment="1" applyProtection="1">
      <alignment textRotation="90"/>
      <protection locked="0"/>
    </xf>
    <xf numFmtId="0" fontId="3" fillId="0" borderId="8" xfId="0" applyFont="1" applyBorder="1" applyAlignment="1" applyProtection="1">
      <alignment textRotation="90"/>
      <protection locked="0"/>
    </xf>
    <xf numFmtId="0" fontId="3" fillId="0" borderId="15" xfId="0" applyFont="1" applyBorder="1" applyAlignment="1" applyProtection="1">
      <alignment horizontal="centerContinuous" vertical="center"/>
      <protection locked="0"/>
    </xf>
    <xf numFmtId="0" fontId="3" fillId="0" borderId="35" xfId="0" applyFont="1" applyBorder="1" applyAlignment="1" applyProtection="1">
      <alignment horizontal="centerContinuous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3" fillId="0" borderId="36" xfId="0" applyFont="1" applyBorder="1" applyAlignment="1" applyProtection="1">
      <alignment vertical="center" textRotation="255"/>
      <protection locked="0"/>
    </xf>
    <xf numFmtId="0" fontId="3" fillId="0" borderId="37" xfId="0" applyFont="1" applyBorder="1" applyProtection="1">
      <protection locked="0"/>
    </xf>
    <xf numFmtId="0" fontId="3" fillId="0" borderId="38" xfId="0" applyFont="1" applyBorder="1" applyProtection="1">
      <protection locked="0"/>
    </xf>
    <xf numFmtId="0" fontId="3" fillId="0" borderId="17" xfId="0" applyFont="1" applyBorder="1" applyProtection="1">
      <protection locked="0"/>
    </xf>
    <xf numFmtId="0" fontId="3" fillId="0" borderId="6" xfId="0" applyFont="1" applyBorder="1" applyAlignment="1" applyProtection="1">
      <alignment vertical="top"/>
      <protection locked="0"/>
    </xf>
    <xf numFmtId="0" fontId="3" fillId="0" borderId="34" xfId="0" applyFont="1" applyBorder="1" applyAlignment="1" applyProtection="1">
      <alignment vertical="top" textRotation="255"/>
      <protection locked="0"/>
    </xf>
    <xf numFmtId="0" fontId="3" fillId="0" borderId="7" xfId="0" applyFont="1" applyBorder="1" applyAlignment="1" applyProtection="1">
      <alignment horizontal="center" vertical="top"/>
      <protection locked="0"/>
    </xf>
    <xf numFmtId="0" fontId="3" fillId="0" borderId="24" xfId="0" applyFont="1" applyBorder="1" applyAlignment="1" applyProtection="1">
      <alignment vertical="top" textRotation="255"/>
      <protection locked="0"/>
    </xf>
    <xf numFmtId="0" fontId="3" fillId="0" borderId="25" xfId="0" applyFont="1" applyBorder="1" applyAlignment="1" applyProtection="1">
      <alignment vertical="top"/>
      <protection locked="0"/>
    </xf>
    <xf numFmtId="0" fontId="3" fillId="0" borderId="26" xfId="0" applyFont="1" applyBorder="1" applyAlignment="1" applyProtection="1">
      <alignment vertical="top"/>
      <protection locked="0"/>
    </xf>
    <xf numFmtId="0" fontId="3" fillId="0" borderId="8" xfId="0" applyFont="1" applyBorder="1" applyAlignment="1" applyProtection="1">
      <alignment vertical="top"/>
      <protection locked="0"/>
    </xf>
    <xf numFmtId="0" fontId="3" fillId="0" borderId="0" xfId="0" applyFont="1" applyAlignment="1" applyProtection="1">
      <alignment vertical="top"/>
      <protection locked="0"/>
    </xf>
    <xf numFmtId="0" fontId="3" fillId="0" borderId="0" xfId="0" applyFont="1" applyBorder="1" applyAlignment="1" applyProtection="1">
      <alignment vertical="top"/>
      <protection locked="0"/>
    </xf>
    <xf numFmtId="0" fontId="3" fillId="0" borderId="0" xfId="0" applyFont="1" applyBorder="1" applyAlignment="1" applyProtection="1">
      <alignment vertical="top" textRotation="255"/>
      <protection locked="0"/>
    </xf>
    <xf numFmtId="0" fontId="3" fillId="0" borderId="0" xfId="0" applyFont="1" applyBorder="1" applyAlignment="1" applyProtection="1">
      <alignment horizontal="center" vertical="top"/>
      <protection locked="0"/>
    </xf>
    <xf numFmtId="0" fontId="3" fillId="0" borderId="0" xfId="0" applyFont="1" applyBorder="1"/>
    <xf numFmtId="0" fontId="3" fillId="2" borderId="0" xfId="0" applyFont="1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3" fillId="0" borderId="0" xfId="0" quotePrefix="1" applyFont="1" applyBorder="1" applyProtection="1"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/>
      <protection locked="0"/>
    </xf>
    <xf numFmtId="0" fontId="3" fillId="0" borderId="24" xfId="0" applyFont="1" applyBorder="1" applyAlignment="1" applyProtection="1">
      <alignment horizontal="center" vertical="center"/>
      <protection locked="0"/>
    </xf>
    <xf numFmtId="0" fontId="3" fillId="3" borderId="23" xfId="0" applyFont="1" applyFill="1" applyBorder="1" applyAlignment="1" applyProtection="1">
      <alignment horizontal="center" vertical="center"/>
      <protection locked="0"/>
    </xf>
    <xf numFmtId="0" fontId="3" fillId="3" borderId="48" xfId="0" applyFont="1" applyFill="1" applyBorder="1" applyAlignment="1" applyProtection="1">
      <alignment horizontal="center" vertical="center"/>
      <protection locked="0"/>
    </xf>
    <xf numFmtId="0" fontId="3" fillId="0" borderId="23" xfId="0" applyFont="1" applyBorder="1" applyProtection="1">
      <protection locked="0"/>
    </xf>
    <xf numFmtId="0" fontId="3" fillId="3" borderId="49" xfId="0" applyFont="1" applyFill="1" applyBorder="1" applyAlignment="1" applyProtection="1">
      <alignment horizontal="center" vertical="center"/>
      <protection locked="0"/>
    </xf>
    <xf numFmtId="0" fontId="3" fillId="3" borderId="50" xfId="0" applyFont="1" applyFill="1" applyBorder="1" applyAlignment="1" applyProtection="1">
      <alignment horizontal="center" vertical="center"/>
      <protection locked="0"/>
    </xf>
    <xf numFmtId="0" fontId="3" fillId="0" borderId="50" xfId="0" applyFont="1" applyBorder="1" applyAlignment="1" applyProtection="1">
      <alignment horizontal="center" vertical="center"/>
      <protection locked="0"/>
    </xf>
    <xf numFmtId="0" fontId="3" fillId="0" borderId="47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44" xfId="0" applyFont="1" applyBorder="1" applyAlignment="1" applyProtection="1">
      <alignment horizontal="center" vertical="center"/>
      <protection locked="0"/>
    </xf>
    <xf numFmtId="0" fontId="3" fillId="0" borderId="45" xfId="0" applyFont="1" applyBorder="1" applyAlignment="1" applyProtection="1">
      <alignment horizontal="center" vertical="center"/>
      <protection locked="0"/>
    </xf>
    <xf numFmtId="0" fontId="3" fillId="0" borderId="46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36" xfId="0" applyFont="1" applyBorder="1" applyAlignment="1" applyProtection="1">
      <alignment horizontal="center" vertical="center" textRotation="255"/>
      <protection locked="0"/>
    </xf>
    <xf numFmtId="0" fontId="3" fillId="0" borderId="14" xfId="0" applyFont="1" applyBorder="1" applyAlignment="1" applyProtection="1">
      <alignment horizontal="center" vertical="center" textRotation="255"/>
      <protection locked="0"/>
    </xf>
    <xf numFmtId="0" fontId="3" fillId="0" borderId="24" xfId="0" applyFont="1" applyBorder="1" applyAlignment="1" applyProtection="1">
      <alignment horizontal="center" vertical="center" textRotation="255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0</xdr:rowOff>
    </xdr:from>
    <xdr:to>
      <xdr:col>3</xdr:col>
      <xdr:colOff>942975</xdr:colOff>
      <xdr:row>6</xdr:row>
      <xdr:rowOff>581025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525" y="1028700"/>
          <a:ext cx="3362325" cy="581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19050</xdr:rowOff>
        </xdr:from>
        <xdr:to>
          <xdr:col>3</xdr:col>
          <xdr:colOff>933450</xdr:colOff>
          <xdr:row>2</xdr:row>
          <xdr:rowOff>57150</xdr:rowOff>
        </xdr:to>
        <xdr:sp macro="" textlink="">
          <xdr:nvSpPr>
            <xdr:cNvPr id="258049" name="Button 1" hidden="1">
              <a:extLst>
                <a:ext uri="{63B3BB69-23CF-44E3-9099-C40C66FF867C}">
                  <a14:compatExt spid="_x0000_s258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85725</xdr:rowOff>
        </xdr:from>
        <xdr:to>
          <xdr:col>3</xdr:col>
          <xdr:colOff>933450</xdr:colOff>
          <xdr:row>4</xdr:row>
          <xdr:rowOff>123825</xdr:rowOff>
        </xdr:to>
        <xdr:sp macro="" textlink="">
          <xdr:nvSpPr>
            <xdr:cNvPr id="258050" name="Button 2" hidden="1">
              <a:extLst>
                <a:ext uri="{63B3BB69-23CF-44E3-9099-C40C66FF867C}">
                  <a14:compatExt spid="_x0000_s258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确认数量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8</xdr:col>
          <xdr:colOff>133350</xdr:colOff>
          <xdr:row>2</xdr:row>
          <xdr:rowOff>57150</xdr:rowOff>
        </xdr:to>
        <xdr:sp macro="" textlink="">
          <xdr:nvSpPr>
            <xdr:cNvPr id="258051" name="Button 3" hidden="1">
              <a:extLst>
                <a:ext uri="{63B3BB69-23CF-44E3-9099-C40C66FF867C}">
                  <a14:compatExt spid="_x0000_s258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设定表头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85725</xdr:rowOff>
        </xdr:from>
        <xdr:to>
          <xdr:col>8</xdr:col>
          <xdr:colOff>133350</xdr:colOff>
          <xdr:row>4</xdr:row>
          <xdr:rowOff>123825</xdr:rowOff>
        </xdr:to>
        <xdr:sp macro="" textlink="">
          <xdr:nvSpPr>
            <xdr:cNvPr id="258052" name="Button 4" hidden="1">
              <a:extLst>
                <a:ext uri="{63B3BB69-23CF-44E3-9099-C40C66FF867C}">
                  <a14:compatExt spid="_x0000_s258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28575</xdr:rowOff>
        </xdr:from>
        <xdr:to>
          <xdr:col>11</xdr:col>
          <xdr:colOff>142875</xdr:colOff>
          <xdr:row>4</xdr:row>
          <xdr:rowOff>114300</xdr:rowOff>
        </xdr:to>
        <xdr:sp macro="" textlink="">
          <xdr:nvSpPr>
            <xdr:cNvPr id="258053" name="Button 5" hidden="1">
              <a:extLst>
                <a:ext uri="{63B3BB69-23CF-44E3-9099-C40C66FF867C}">
                  <a14:compatExt spid="_x0000_s258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打印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590550</xdr:colOff>
          <xdr:row>4</xdr:row>
          <xdr:rowOff>0</xdr:rowOff>
        </xdr:to>
        <xdr:sp macro="" textlink="">
          <xdr:nvSpPr>
            <xdr:cNvPr id="258054" name="Button 6" hidden="1">
              <a:extLst>
                <a:ext uri="{63B3BB69-23CF-44E3-9099-C40C66FF867C}">
                  <a14:compatExt spid="_x0000_s258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追加Sheet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0</xdr:row>
          <xdr:rowOff>28575</xdr:rowOff>
        </xdr:from>
        <xdr:to>
          <xdr:col>2</xdr:col>
          <xdr:colOff>666750</xdr:colOff>
          <xdr:row>4</xdr:row>
          <xdr:rowOff>0</xdr:rowOff>
        </xdr:to>
        <xdr:sp macro="" textlink="">
          <xdr:nvSpPr>
            <xdr:cNvPr id="258055" name="Button 7" hidden="1">
              <a:extLst>
                <a:ext uri="{63B3BB69-23CF-44E3-9099-C40C66FF867C}">
                  <a14:compatExt spid="_x0000_s258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1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1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1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0</xdr:rowOff>
    </xdr:from>
    <xdr:to>
      <xdr:col>3</xdr:col>
      <xdr:colOff>942975</xdr:colOff>
      <xdr:row>6</xdr:row>
      <xdr:rowOff>581025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525" y="1028700"/>
          <a:ext cx="3362325" cy="581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19050</xdr:rowOff>
        </xdr:from>
        <xdr:to>
          <xdr:col>3</xdr:col>
          <xdr:colOff>933450</xdr:colOff>
          <xdr:row>2</xdr:row>
          <xdr:rowOff>57150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85725</xdr:rowOff>
        </xdr:from>
        <xdr:to>
          <xdr:col>3</xdr:col>
          <xdr:colOff>933450</xdr:colOff>
          <xdr:row>4</xdr:row>
          <xdr:rowOff>123825</xdr:rowOff>
        </xdr:to>
        <xdr:sp macro="" textlink="">
          <xdr:nvSpPr>
            <xdr:cNvPr id="260098" name="Button 2" hidden="1">
              <a:extLst>
                <a:ext uri="{63B3BB69-23CF-44E3-9099-C40C66FF867C}">
                  <a14:compatExt spid="_x0000_s260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确认数量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8</xdr:col>
          <xdr:colOff>133350</xdr:colOff>
          <xdr:row>2</xdr:row>
          <xdr:rowOff>57150</xdr:rowOff>
        </xdr:to>
        <xdr:sp macro="" textlink="">
          <xdr:nvSpPr>
            <xdr:cNvPr id="260099" name="Button 3" hidden="1">
              <a:extLst>
                <a:ext uri="{63B3BB69-23CF-44E3-9099-C40C66FF867C}">
                  <a14:compatExt spid="_x0000_s260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设定表头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85725</xdr:rowOff>
        </xdr:from>
        <xdr:to>
          <xdr:col>8</xdr:col>
          <xdr:colOff>133350</xdr:colOff>
          <xdr:row>4</xdr:row>
          <xdr:rowOff>123825</xdr:rowOff>
        </xdr:to>
        <xdr:sp macro="" textlink="">
          <xdr:nvSpPr>
            <xdr:cNvPr id="260100" name="Button 4" hidden="1">
              <a:extLst>
                <a:ext uri="{63B3BB69-23CF-44E3-9099-C40C66FF867C}">
                  <a14:compatExt spid="_x0000_s260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28575</xdr:rowOff>
        </xdr:from>
        <xdr:to>
          <xdr:col>11</xdr:col>
          <xdr:colOff>142875</xdr:colOff>
          <xdr:row>4</xdr:row>
          <xdr:rowOff>114300</xdr:rowOff>
        </xdr:to>
        <xdr:sp macro="" textlink="">
          <xdr:nvSpPr>
            <xdr:cNvPr id="260101" name="Button 5" hidden="1">
              <a:extLst>
                <a:ext uri="{63B3BB69-23CF-44E3-9099-C40C66FF867C}">
                  <a14:compatExt spid="_x0000_s260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打印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590550</xdr:colOff>
          <xdr:row>4</xdr:row>
          <xdr:rowOff>0</xdr:rowOff>
        </xdr:to>
        <xdr:sp macro="" textlink="">
          <xdr:nvSpPr>
            <xdr:cNvPr id="260102" name="Button 6" hidden="1">
              <a:extLst>
                <a:ext uri="{63B3BB69-23CF-44E3-9099-C40C66FF867C}">
                  <a14:compatExt spid="_x0000_s260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追加Sheet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0</xdr:row>
          <xdr:rowOff>28575</xdr:rowOff>
        </xdr:from>
        <xdr:to>
          <xdr:col>2</xdr:col>
          <xdr:colOff>666750</xdr:colOff>
          <xdr:row>4</xdr:row>
          <xdr:rowOff>0</xdr:rowOff>
        </xdr:to>
        <xdr:sp macro="" textlink="">
          <xdr:nvSpPr>
            <xdr:cNvPr id="260103" name="Button 7" hidden="1">
              <a:extLst>
                <a:ext uri="{63B3BB69-23CF-44E3-9099-C40C66FF867C}">
                  <a14:compatExt spid="_x0000_s260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1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1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1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0</xdr:rowOff>
    </xdr:from>
    <xdr:to>
      <xdr:col>3</xdr:col>
      <xdr:colOff>942975</xdr:colOff>
      <xdr:row>6</xdr:row>
      <xdr:rowOff>581025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525" y="1028700"/>
          <a:ext cx="3362325" cy="581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19050</xdr:rowOff>
        </xdr:from>
        <xdr:to>
          <xdr:col>3</xdr:col>
          <xdr:colOff>933450</xdr:colOff>
          <xdr:row>2</xdr:row>
          <xdr:rowOff>57150</xdr:rowOff>
        </xdr:to>
        <xdr:sp macro="" textlink="">
          <xdr:nvSpPr>
            <xdr:cNvPr id="261121" name="Button 1" hidden="1">
              <a:extLst>
                <a:ext uri="{63B3BB69-23CF-44E3-9099-C40C66FF867C}">
                  <a14:compatExt spid="_x0000_s261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85725</xdr:rowOff>
        </xdr:from>
        <xdr:to>
          <xdr:col>3</xdr:col>
          <xdr:colOff>933450</xdr:colOff>
          <xdr:row>4</xdr:row>
          <xdr:rowOff>123825</xdr:rowOff>
        </xdr:to>
        <xdr:sp macro="" textlink="">
          <xdr:nvSpPr>
            <xdr:cNvPr id="261122" name="Button 2" hidden="1">
              <a:extLst>
                <a:ext uri="{63B3BB69-23CF-44E3-9099-C40C66FF867C}">
                  <a14:compatExt spid="_x0000_s261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确认数量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8</xdr:col>
          <xdr:colOff>133350</xdr:colOff>
          <xdr:row>2</xdr:row>
          <xdr:rowOff>57150</xdr:rowOff>
        </xdr:to>
        <xdr:sp macro="" textlink="">
          <xdr:nvSpPr>
            <xdr:cNvPr id="261123" name="Button 3" hidden="1">
              <a:extLst>
                <a:ext uri="{63B3BB69-23CF-44E3-9099-C40C66FF867C}">
                  <a14:compatExt spid="_x0000_s261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设定表头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85725</xdr:rowOff>
        </xdr:from>
        <xdr:to>
          <xdr:col>8</xdr:col>
          <xdr:colOff>133350</xdr:colOff>
          <xdr:row>4</xdr:row>
          <xdr:rowOff>123825</xdr:rowOff>
        </xdr:to>
        <xdr:sp macro="" textlink="">
          <xdr:nvSpPr>
            <xdr:cNvPr id="261124" name="Button 4" hidden="1">
              <a:extLst>
                <a:ext uri="{63B3BB69-23CF-44E3-9099-C40C66FF867C}">
                  <a14:compatExt spid="_x0000_s261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28575</xdr:rowOff>
        </xdr:from>
        <xdr:to>
          <xdr:col>11</xdr:col>
          <xdr:colOff>142875</xdr:colOff>
          <xdr:row>4</xdr:row>
          <xdr:rowOff>114300</xdr:rowOff>
        </xdr:to>
        <xdr:sp macro="" textlink="">
          <xdr:nvSpPr>
            <xdr:cNvPr id="261125" name="Button 5" hidden="1">
              <a:extLst>
                <a:ext uri="{63B3BB69-23CF-44E3-9099-C40C66FF867C}">
                  <a14:compatExt spid="_x0000_s26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打印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590550</xdr:colOff>
          <xdr:row>4</xdr:row>
          <xdr:rowOff>0</xdr:rowOff>
        </xdr:to>
        <xdr:sp macro="" textlink="">
          <xdr:nvSpPr>
            <xdr:cNvPr id="261126" name="Button 6" hidden="1">
              <a:extLst>
                <a:ext uri="{63B3BB69-23CF-44E3-9099-C40C66FF867C}">
                  <a14:compatExt spid="_x0000_s26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追加Sheet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0</xdr:row>
          <xdr:rowOff>28575</xdr:rowOff>
        </xdr:from>
        <xdr:to>
          <xdr:col>2</xdr:col>
          <xdr:colOff>666750</xdr:colOff>
          <xdr:row>4</xdr:row>
          <xdr:rowOff>0</xdr:rowOff>
        </xdr:to>
        <xdr:sp macro="" textlink="">
          <xdr:nvSpPr>
            <xdr:cNvPr id="261127" name="Button 7" hidden="1">
              <a:extLst>
                <a:ext uri="{63B3BB69-23CF-44E3-9099-C40C66FF867C}">
                  <a14:compatExt spid="_x0000_s26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1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1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1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AA75"/>
  <sheetViews>
    <sheetView showGridLines="0" view="pageBreakPreview" topLeftCell="A25" zoomScale="130" zoomScaleNormal="130" zoomScaleSheetLayoutView="130" workbookViewId="0">
      <selection activeCell="B31" sqref="B31"/>
    </sheetView>
  </sheetViews>
  <sheetFormatPr defaultRowHeight="12.75"/>
  <cols>
    <col min="1" max="1" width="3.125" style="1" customWidth="1"/>
    <col min="2" max="2" width="10" style="1" customWidth="1"/>
    <col min="3" max="3" width="18.75" style="1" customWidth="1"/>
    <col min="4" max="4" width="12.5" style="1" customWidth="1"/>
    <col min="5" max="5" width="2.625" style="1" customWidth="1"/>
    <col min="6" max="13" width="2.25" style="1" customWidth="1"/>
    <col min="14" max="14" width="2.625" style="1" customWidth="1"/>
    <col min="15" max="24" width="2.25" style="1" customWidth="1"/>
    <col min="25" max="25" width="7" style="1" customWidth="1"/>
    <col min="26" max="28" width="2.125" style="1" customWidth="1"/>
    <col min="29" max="16384" width="9" style="1"/>
  </cols>
  <sheetData>
    <row r="1" spans="1:27">
      <c r="M1" s="2" t="s">
        <v>39</v>
      </c>
      <c r="N1" s="3"/>
      <c r="O1" s="3"/>
      <c r="P1" s="4"/>
      <c r="Q1" s="2" t="s">
        <v>40</v>
      </c>
      <c r="R1" s="3"/>
      <c r="S1" s="3"/>
      <c r="T1" s="4"/>
      <c r="U1" s="2" t="s">
        <v>0</v>
      </c>
      <c r="V1" s="3"/>
      <c r="W1" s="3"/>
      <c r="X1" s="4"/>
    </row>
    <row r="2" spans="1:27" ht="13.5" customHeight="1">
      <c r="M2" s="5"/>
      <c r="N2" s="6"/>
      <c r="O2" s="6"/>
      <c r="P2" s="7"/>
      <c r="Q2" s="5"/>
      <c r="R2" s="6"/>
      <c r="S2" s="6"/>
      <c r="T2" s="7"/>
      <c r="U2" s="98"/>
      <c r="V2" s="99"/>
      <c r="W2" s="99"/>
      <c r="X2" s="100"/>
      <c r="AA2" s="1" t="s">
        <v>11</v>
      </c>
    </row>
    <row r="3" spans="1:27" ht="13.5" customHeight="1">
      <c r="M3" s="5"/>
      <c r="N3" s="6"/>
      <c r="O3" s="6"/>
      <c r="P3" s="7"/>
      <c r="Q3" s="5"/>
      <c r="R3" s="6"/>
      <c r="S3" s="6"/>
      <c r="T3" s="7"/>
      <c r="U3" s="101"/>
      <c r="V3" s="102"/>
      <c r="W3" s="102"/>
      <c r="X3" s="103"/>
    </row>
    <row r="4" spans="1:27" ht="13.5" customHeight="1">
      <c r="M4" s="5"/>
      <c r="N4" s="6"/>
      <c r="O4" s="6"/>
      <c r="P4" s="7"/>
      <c r="Q4" s="5"/>
      <c r="R4" s="6"/>
      <c r="S4" s="6"/>
      <c r="T4" s="7"/>
      <c r="U4" s="101"/>
      <c r="V4" s="102"/>
      <c r="W4" s="102"/>
      <c r="X4" s="103"/>
      <c r="Y4" s="1" t="s">
        <v>43</v>
      </c>
    </row>
    <row r="5" spans="1:27" ht="14.25" customHeight="1" thickBot="1">
      <c r="A5" s="8" t="s">
        <v>19</v>
      </c>
      <c r="M5" s="9"/>
      <c r="N5" s="10"/>
      <c r="O5" s="10"/>
      <c r="P5" s="11"/>
      <c r="Q5" s="9"/>
      <c r="R5" s="10"/>
      <c r="S5" s="10"/>
      <c r="T5" s="11"/>
      <c r="U5" s="104"/>
      <c r="V5" s="105"/>
      <c r="W5" s="105"/>
      <c r="X5" s="106"/>
    </row>
    <row r="6" spans="1:27" s="18" customFormat="1" ht="13.5" thickBot="1">
      <c r="A6" s="12" t="s">
        <v>20</v>
      </c>
      <c r="B6" s="13"/>
      <c r="C6" s="14" t="s">
        <v>17</v>
      </c>
      <c r="D6" s="15"/>
      <c r="E6" s="16" t="s">
        <v>18</v>
      </c>
      <c r="F6" s="16"/>
      <c r="G6" s="16"/>
      <c r="H6" s="16"/>
      <c r="I6" s="16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7"/>
    </row>
    <row r="7" spans="1:27" ht="46.5" customHeight="1" thickBot="1">
      <c r="A7" s="19"/>
      <c r="B7" s="20" t="s">
        <v>21</v>
      </c>
      <c r="C7" s="20"/>
      <c r="D7" s="21" t="s">
        <v>22</v>
      </c>
      <c r="E7" s="22" t="str">
        <f>IF(E53="","",$C$62 &amp; $C$61 &amp; $C$60 &amp; E53 &amp; TEXT(E59,"0000" ))</f>
        <v>TCN000UTN0001</v>
      </c>
      <c r="F7" s="23" t="str">
        <f t="shared" ref="F7:X7" si="0">IF(F53="","",$C$62 &amp; $C$61 &amp; $C$60 &amp; F53 &amp; TEXT(F59,"0000" ))</f>
        <v>TCN000UTN0002</v>
      </c>
      <c r="G7" s="23" t="str">
        <f t="shared" si="0"/>
        <v>TCN000UTN0003</v>
      </c>
      <c r="H7" s="23" t="str">
        <f t="shared" si="0"/>
        <v>TCN000UTN0004</v>
      </c>
      <c r="I7" s="23" t="str">
        <f t="shared" si="0"/>
        <v>TCN000UTN0005</v>
      </c>
      <c r="J7" s="23" t="str">
        <f t="shared" si="0"/>
        <v>TCN000UTN0006</v>
      </c>
      <c r="K7" s="23" t="str">
        <f t="shared" si="0"/>
        <v>TCN000UTN0007</v>
      </c>
      <c r="L7" s="23" t="str">
        <f t="shared" si="0"/>
        <v>TCN000UTN0008</v>
      </c>
      <c r="M7" s="23" t="str">
        <f t="shared" si="0"/>
        <v>TCN000UTN0009</v>
      </c>
      <c r="N7" s="23" t="str">
        <f t="shared" si="0"/>
        <v>TCN000UTN0010</v>
      </c>
      <c r="O7" s="23" t="str">
        <f t="shared" si="0"/>
        <v>TCN000UTN0011</v>
      </c>
      <c r="P7" s="23" t="str">
        <f t="shared" si="0"/>
        <v>TCN000UTN0012</v>
      </c>
      <c r="Q7" s="23" t="str">
        <f t="shared" si="0"/>
        <v>TCN000UTN0013</v>
      </c>
      <c r="R7" s="23" t="str">
        <f t="shared" si="0"/>
        <v>TCN000UTN0014</v>
      </c>
      <c r="S7" s="23" t="str">
        <f t="shared" si="0"/>
        <v>TCN000UTN0015</v>
      </c>
      <c r="T7" s="23" t="str">
        <f t="shared" si="0"/>
        <v>TCN000UTN0016</v>
      </c>
      <c r="U7" s="23" t="str">
        <f t="shared" si="0"/>
        <v>TCN000UTN0017</v>
      </c>
      <c r="V7" s="23" t="str">
        <f t="shared" si="0"/>
        <v>TCN000UTN0018</v>
      </c>
      <c r="W7" s="23" t="str">
        <f t="shared" si="0"/>
        <v>TCN000UTN0019</v>
      </c>
      <c r="X7" s="24" t="str">
        <f t="shared" si="0"/>
        <v>TCN000UTN0020</v>
      </c>
    </row>
    <row r="8" spans="1:27" s="6" customFormat="1" ht="11.25" customHeight="1">
      <c r="A8" s="107" t="s">
        <v>23</v>
      </c>
      <c r="B8" s="25" t="s">
        <v>69</v>
      </c>
      <c r="C8" s="26"/>
      <c r="D8" s="27"/>
      <c r="E8" s="28" t="s">
        <v>50</v>
      </c>
      <c r="F8" s="29" t="s">
        <v>42</v>
      </c>
      <c r="G8" s="29" t="s">
        <v>42</v>
      </c>
      <c r="H8" s="29" t="s">
        <v>42</v>
      </c>
      <c r="I8" s="29" t="s">
        <v>42</v>
      </c>
      <c r="J8" s="29" t="s">
        <v>42</v>
      </c>
      <c r="K8" s="29" t="s">
        <v>42</v>
      </c>
      <c r="L8" s="29" t="s">
        <v>42</v>
      </c>
      <c r="M8" s="29" t="s">
        <v>42</v>
      </c>
      <c r="N8" s="29" t="s">
        <v>50</v>
      </c>
      <c r="O8" s="29" t="s">
        <v>42</v>
      </c>
      <c r="P8" s="29" t="s">
        <v>42</v>
      </c>
      <c r="Q8" s="29" t="s">
        <v>42</v>
      </c>
      <c r="R8" s="29" t="s">
        <v>42</v>
      </c>
      <c r="S8" s="29" t="s">
        <v>42</v>
      </c>
      <c r="T8" s="29" t="s">
        <v>42</v>
      </c>
      <c r="U8" s="29" t="s">
        <v>42</v>
      </c>
      <c r="V8" s="29" t="s">
        <v>42</v>
      </c>
      <c r="W8" s="29" t="s">
        <v>42</v>
      </c>
      <c r="X8" s="29" t="s">
        <v>42</v>
      </c>
    </row>
    <row r="9" spans="1:27" ht="11.25" customHeight="1">
      <c r="A9" s="108"/>
      <c r="B9" s="30" t="s">
        <v>52</v>
      </c>
      <c r="C9" s="31"/>
      <c r="D9" s="32"/>
      <c r="E9" s="88"/>
      <c r="F9" s="88"/>
      <c r="G9" s="33"/>
      <c r="H9" s="88"/>
      <c r="I9" s="88"/>
      <c r="J9" s="33"/>
      <c r="K9" s="88"/>
      <c r="L9" s="33"/>
      <c r="M9" s="33"/>
      <c r="N9" s="33"/>
      <c r="O9" s="33"/>
      <c r="P9" s="88"/>
      <c r="Q9" s="33"/>
      <c r="R9" s="33"/>
      <c r="S9" s="33"/>
      <c r="T9" s="33"/>
      <c r="U9" s="33"/>
      <c r="V9" s="33"/>
      <c r="W9" s="33"/>
      <c r="X9" s="34"/>
    </row>
    <row r="10" spans="1:27" ht="11.25" customHeight="1">
      <c r="A10" s="108"/>
      <c r="B10" s="30" t="s">
        <v>53</v>
      </c>
      <c r="C10" s="31"/>
      <c r="D10" s="32"/>
      <c r="E10" s="88"/>
      <c r="F10" s="88"/>
      <c r="G10" s="88"/>
      <c r="H10" s="88"/>
      <c r="I10" s="88"/>
      <c r="J10" s="88" t="s">
        <v>64</v>
      </c>
      <c r="K10" s="88" t="s">
        <v>64</v>
      </c>
      <c r="L10" s="88" t="s">
        <v>64</v>
      </c>
      <c r="M10" s="88" t="s">
        <v>64</v>
      </c>
      <c r="N10" s="88" t="s">
        <v>64</v>
      </c>
      <c r="O10" s="88" t="s">
        <v>64</v>
      </c>
      <c r="P10" s="33"/>
      <c r="Q10" s="88"/>
      <c r="R10" s="33"/>
      <c r="S10" s="33"/>
      <c r="T10" s="33"/>
      <c r="U10" s="33"/>
      <c r="V10" s="88"/>
      <c r="W10" s="33"/>
      <c r="X10" s="34"/>
    </row>
    <row r="11" spans="1:27" ht="11.25" customHeight="1">
      <c r="A11" s="108"/>
      <c r="B11" s="30" t="s">
        <v>54</v>
      </c>
      <c r="C11" s="31"/>
      <c r="D11" s="32"/>
      <c r="E11" s="88"/>
      <c r="F11" s="88"/>
      <c r="G11" s="33"/>
      <c r="H11" s="88"/>
      <c r="I11" s="88"/>
      <c r="J11" s="88"/>
      <c r="K11" s="88"/>
      <c r="L11" s="88"/>
      <c r="M11" s="88"/>
      <c r="N11" s="88"/>
      <c r="O11" s="88"/>
      <c r="P11" s="33"/>
      <c r="Q11" s="90"/>
      <c r="R11" s="33"/>
      <c r="S11" s="33"/>
      <c r="T11" s="33"/>
      <c r="U11" s="33"/>
      <c r="V11" s="33"/>
      <c r="W11" s="33"/>
      <c r="X11" s="34"/>
    </row>
    <row r="12" spans="1:27" ht="11.25" customHeight="1">
      <c r="A12" s="108"/>
      <c r="B12" s="30" t="s">
        <v>55</v>
      </c>
      <c r="C12" s="31"/>
      <c r="D12" s="32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33"/>
      <c r="Q12" s="90"/>
      <c r="R12" s="33"/>
      <c r="S12" s="33"/>
      <c r="T12" s="33"/>
      <c r="U12" s="33"/>
      <c r="V12" s="88"/>
      <c r="W12" s="33"/>
      <c r="X12" s="34"/>
    </row>
    <row r="13" spans="1:27" ht="11.25" customHeight="1">
      <c r="A13" s="108"/>
      <c r="B13" s="30" t="s">
        <v>66</v>
      </c>
      <c r="C13" s="31"/>
      <c r="D13" s="32"/>
      <c r="E13" s="89"/>
      <c r="F13" s="88"/>
      <c r="G13" s="33"/>
      <c r="H13" s="88" t="s">
        <v>64</v>
      </c>
      <c r="I13" s="88" t="s">
        <v>64</v>
      </c>
      <c r="J13" s="88"/>
      <c r="K13" s="88"/>
      <c r="L13" s="88"/>
      <c r="M13" s="88"/>
      <c r="N13" s="88"/>
      <c r="O13" s="88"/>
      <c r="P13" s="88" t="s">
        <v>64</v>
      </c>
      <c r="Q13" s="88" t="s">
        <v>64</v>
      </c>
      <c r="R13" s="33"/>
      <c r="S13" s="33"/>
      <c r="T13" s="88"/>
      <c r="U13" s="88"/>
      <c r="V13" s="33"/>
      <c r="W13" s="33"/>
      <c r="X13" s="34"/>
    </row>
    <row r="14" spans="1:27" ht="11.25" customHeight="1">
      <c r="A14" s="108"/>
      <c r="B14" s="30" t="s">
        <v>56</v>
      </c>
      <c r="C14" s="31"/>
      <c r="D14" s="32"/>
      <c r="E14" s="88"/>
      <c r="F14" s="88"/>
      <c r="G14" s="33"/>
      <c r="I14" s="88"/>
      <c r="J14" s="88"/>
      <c r="K14" s="88"/>
      <c r="L14" s="88"/>
      <c r="M14" s="88"/>
      <c r="N14" s="88"/>
      <c r="O14" s="88"/>
      <c r="P14" s="88"/>
      <c r="Q14" s="88"/>
      <c r="R14" s="88" t="s">
        <v>64</v>
      </c>
      <c r="S14" s="88" t="s">
        <v>64</v>
      </c>
      <c r="T14" s="33"/>
      <c r="U14" s="88"/>
      <c r="V14" s="88" t="s">
        <v>64</v>
      </c>
      <c r="W14" s="88" t="s">
        <v>64</v>
      </c>
      <c r="X14" s="88" t="s">
        <v>64</v>
      </c>
    </row>
    <row r="15" spans="1:27" ht="11.25" customHeight="1">
      <c r="A15" s="108"/>
      <c r="B15" s="30" t="s">
        <v>57</v>
      </c>
      <c r="C15" s="31"/>
      <c r="D15" s="32"/>
      <c r="E15" s="88"/>
      <c r="F15" s="88"/>
      <c r="G15" s="33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33"/>
      <c r="T15" s="88" t="s">
        <v>64</v>
      </c>
      <c r="U15" s="88" t="s">
        <v>64</v>
      </c>
      <c r="V15" s="88" t="s">
        <v>64</v>
      </c>
      <c r="W15" s="88" t="s">
        <v>64</v>
      </c>
      <c r="X15" s="88" t="s">
        <v>64</v>
      </c>
    </row>
    <row r="16" spans="1:27" ht="11.25" customHeight="1">
      <c r="A16" s="108"/>
      <c r="B16" s="30" t="s">
        <v>58</v>
      </c>
      <c r="C16" s="31"/>
      <c r="D16" s="32"/>
      <c r="E16" s="88"/>
      <c r="F16" s="88"/>
      <c r="G16" s="33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33"/>
      <c r="S16" s="88"/>
      <c r="T16" s="88"/>
      <c r="U16" s="88"/>
      <c r="V16" s="33"/>
      <c r="W16" s="33"/>
      <c r="X16" s="34"/>
    </row>
    <row r="17" spans="1:24" ht="11.25" customHeight="1">
      <c r="A17" s="108"/>
      <c r="B17" s="30" t="s">
        <v>59</v>
      </c>
      <c r="C17" s="31"/>
      <c r="D17" s="32"/>
      <c r="E17" s="88" t="s">
        <v>65</v>
      </c>
      <c r="F17" s="88" t="s">
        <v>64</v>
      </c>
      <c r="G17" s="88" t="s">
        <v>64</v>
      </c>
      <c r="H17" s="88"/>
      <c r="I17" s="88"/>
      <c r="J17" s="88" t="s">
        <v>64</v>
      </c>
      <c r="K17" s="88" t="s">
        <v>64</v>
      </c>
      <c r="L17" s="88" t="s">
        <v>64</v>
      </c>
      <c r="M17" s="88" t="s">
        <v>64</v>
      </c>
      <c r="N17" s="88" t="s">
        <v>64</v>
      </c>
      <c r="O17" s="88" t="s">
        <v>64</v>
      </c>
      <c r="P17" s="88"/>
      <c r="Q17" s="88"/>
      <c r="R17" s="88"/>
      <c r="S17" s="33"/>
      <c r="T17" s="88"/>
      <c r="U17" s="88"/>
      <c r="V17" s="33"/>
      <c r="W17" s="33"/>
      <c r="X17" s="34"/>
    </row>
    <row r="18" spans="1:24" ht="11.25" customHeight="1">
      <c r="A18" s="108"/>
      <c r="B18" s="30" t="s">
        <v>84</v>
      </c>
      <c r="C18" s="31"/>
      <c r="D18" s="32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33"/>
      <c r="R18" s="88"/>
      <c r="S18" s="88"/>
      <c r="T18" s="88"/>
      <c r="U18" s="33"/>
      <c r="V18" s="33"/>
      <c r="W18" s="33"/>
      <c r="X18" s="34"/>
    </row>
    <row r="19" spans="1:24" ht="11.25" customHeight="1">
      <c r="A19" s="108"/>
      <c r="B19" s="30" t="s">
        <v>63</v>
      </c>
      <c r="C19" s="31"/>
      <c r="D19" s="32"/>
      <c r="E19" s="89"/>
      <c r="F19" s="88"/>
      <c r="G19" s="88"/>
      <c r="H19" s="88"/>
      <c r="I19" s="88"/>
      <c r="J19" s="33"/>
      <c r="K19" s="33"/>
      <c r="L19" s="33"/>
      <c r="M19" s="33"/>
      <c r="N19" s="33"/>
      <c r="O19" s="88"/>
      <c r="P19" s="88"/>
      <c r="Q19" s="33"/>
      <c r="R19" s="33"/>
      <c r="S19" s="88"/>
      <c r="T19" s="88"/>
      <c r="U19" s="33"/>
      <c r="V19" s="33"/>
      <c r="W19" s="33"/>
      <c r="X19" s="34"/>
    </row>
    <row r="20" spans="1:24" ht="11.25" customHeight="1">
      <c r="A20" s="108"/>
      <c r="B20" s="30" t="s">
        <v>61</v>
      </c>
      <c r="C20" s="31"/>
      <c r="D20" s="32"/>
      <c r="E20" s="89"/>
      <c r="F20" s="88"/>
      <c r="G20" s="88"/>
      <c r="H20" s="88"/>
      <c r="I20" s="88"/>
      <c r="J20" s="33"/>
      <c r="K20" s="33"/>
      <c r="L20" s="33"/>
      <c r="M20" s="33"/>
      <c r="N20" s="33"/>
      <c r="O20" s="33"/>
      <c r="P20" s="88"/>
      <c r="Q20" s="33"/>
      <c r="R20" s="33"/>
      <c r="S20" s="33"/>
      <c r="T20" s="33"/>
      <c r="U20" s="33"/>
      <c r="V20" s="33"/>
      <c r="W20" s="33"/>
      <c r="X20" s="34"/>
    </row>
    <row r="21" spans="1:24" ht="11.25" customHeight="1">
      <c r="A21" s="108"/>
      <c r="B21" s="30" t="s">
        <v>62</v>
      </c>
      <c r="C21" s="31"/>
      <c r="D21" s="32"/>
      <c r="E21" s="89"/>
      <c r="F21" s="88"/>
      <c r="G21" s="88"/>
      <c r="H21" s="88"/>
      <c r="I21" s="88"/>
      <c r="J21" s="33"/>
      <c r="K21" s="33"/>
      <c r="L21" s="33"/>
      <c r="M21" s="33"/>
      <c r="N21" s="33"/>
      <c r="O21" s="33"/>
      <c r="P21" s="90"/>
      <c r="Q21" s="88"/>
      <c r="R21" s="33"/>
      <c r="S21" s="33"/>
      <c r="T21" s="33"/>
      <c r="U21" s="33"/>
      <c r="V21" s="33"/>
      <c r="W21" s="33"/>
      <c r="X21" s="34"/>
    </row>
    <row r="22" spans="1:24" ht="11.25" customHeight="1">
      <c r="A22" s="108"/>
      <c r="B22" s="30" t="s">
        <v>51</v>
      </c>
      <c r="C22" s="31"/>
      <c r="D22" s="32"/>
      <c r="E22" s="89"/>
      <c r="F22" s="88"/>
      <c r="G22" s="88"/>
      <c r="H22" s="88"/>
      <c r="I22" s="88"/>
      <c r="J22" s="33"/>
      <c r="K22" s="33"/>
      <c r="L22" s="33"/>
      <c r="M22" s="33"/>
      <c r="N22" s="33"/>
      <c r="O22" s="33"/>
      <c r="P22" s="90"/>
      <c r="Q22" s="33"/>
      <c r="R22" s="88"/>
      <c r="S22" s="33"/>
      <c r="T22" s="33"/>
      <c r="U22" s="33"/>
      <c r="V22" s="33"/>
      <c r="W22" s="33"/>
      <c r="X22" s="34"/>
    </row>
    <row r="23" spans="1:24" ht="11.25" customHeight="1">
      <c r="A23" s="108"/>
      <c r="B23" s="30" t="s">
        <v>44</v>
      </c>
      <c r="C23" s="31"/>
      <c r="D23" s="32"/>
      <c r="E23" s="89"/>
      <c r="F23" s="88"/>
      <c r="G23" s="88"/>
      <c r="H23" s="88"/>
      <c r="I23" s="88"/>
      <c r="J23" s="33"/>
      <c r="K23" s="33"/>
      <c r="L23" s="33"/>
      <c r="M23" s="33"/>
      <c r="N23" s="33"/>
      <c r="O23" s="33"/>
      <c r="P23" s="90"/>
      <c r="Q23" s="33"/>
      <c r="R23" s="33"/>
      <c r="S23" s="88"/>
      <c r="T23" s="33"/>
      <c r="U23" s="33"/>
      <c r="V23" s="33"/>
      <c r="W23" s="33"/>
      <c r="X23" s="34"/>
    </row>
    <row r="24" spans="1:24" ht="11.25" customHeight="1">
      <c r="A24" s="108"/>
      <c r="B24" s="30" t="s">
        <v>45</v>
      </c>
      <c r="C24" s="31"/>
      <c r="D24" s="32"/>
      <c r="E24" s="89"/>
      <c r="F24" s="88"/>
      <c r="G24" s="88"/>
      <c r="H24" s="88"/>
      <c r="I24" s="88"/>
      <c r="J24" s="33"/>
      <c r="K24" s="33"/>
      <c r="L24" s="33"/>
      <c r="M24" s="33"/>
      <c r="N24" s="33"/>
      <c r="O24" s="33"/>
      <c r="P24" s="90"/>
      <c r="Q24" s="33"/>
      <c r="R24" s="33"/>
      <c r="S24" s="33"/>
      <c r="T24" s="88"/>
      <c r="U24" s="33"/>
      <c r="V24" s="33"/>
      <c r="W24" s="33"/>
      <c r="X24" s="34"/>
    </row>
    <row r="25" spans="1:24" ht="11.25" customHeight="1">
      <c r="A25" s="108"/>
      <c r="B25" s="30" t="s">
        <v>46</v>
      </c>
      <c r="C25" s="31"/>
      <c r="D25" s="32"/>
      <c r="E25" s="89"/>
      <c r="F25" s="88"/>
      <c r="G25" s="88"/>
      <c r="H25" s="88"/>
      <c r="I25" s="88"/>
      <c r="J25" s="33"/>
      <c r="K25" s="33"/>
      <c r="L25" s="33"/>
      <c r="M25" s="33"/>
      <c r="N25" s="33"/>
      <c r="O25" s="33"/>
      <c r="P25" s="90"/>
      <c r="Q25" s="33"/>
      <c r="R25" s="33"/>
      <c r="S25" s="33"/>
      <c r="T25" s="33"/>
      <c r="U25" s="88"/>
      <c r="V25" s="33"/>
      <c r="W25" s="33"/>
      <c r="X25" s="34"/>
    </row>
    <row r="26" spans="1:24" ht="11.25" customHeight="1">
      <c r="A26" s="108"/>
      <c r="B26" s="30" t="s">
        <v>47</v>
      </c>
      <c r="C26" s="31"/>
      <c r="D26" s="32"/>
      <c r="E26" s="89"/>
      <c r="F26" s="88"/>
      <c r="G26" s="88"/>
      <c r="H26" s="88"/>
      <c r="I26" s="88"/>
      <c r="J26" s="33"/>
      <c r="K26" s="33"/>
      <c r="L26" s="33"/>
      <c r="M26" s="33"/>
      <c r="N26" s="33"/>
      <c r="O26" s="33"/>
      <c r="P26" s="90"/>
      <c r="Q26" s="33"/>
      <c r="R26" s="33"/>
      <c r="S26" s="33"/>
      <c r="T26" s="33"/>
      <c r="U26" s="33"/>
      <c r="V26" s="88"/>
      <c r="W26" s="33"/>
      <c r="X26" s="34"/>
    </row>
    <row r="27" spans="1:24" ht="11.25" customHeight="1">
      <c r="A27" s="108"/>
      <c r="B27" s="30" t="s">
        <v>48</v>
      </c>
      <c r="C27" s="31"/>
      <c r="D27" s="32"/>
      <c r="E27" s="89"/>
      <c r="F27" s="88"/>
      <c r="G27" s="88"/>
      <c r="H27" s="88"/>
      <c r="I27" s="88"/>
      <c r="J27" s="33"/>
      <c r="K27" s="33"/>
      <c r="L27" s="33"/>
      <c r="M27" s="33"/>
      <c r="N27" s="33"/>
      <c r="O27" s="33"/>
      <c r="P27" s="90"/>
      <c r="Q27" s="33"/>
      <c r="R27" s="33"/>
      <c r="S27" s="33"/>
      <c r="T27" s="33"/>
      <c r="U27" s="33"/>
      <c r="V27" s="33"/>
      <c r="W27" s="88"/>
      <c r="X27" s="34"/>
    </row>
    <row r="28" spans="1:24" ht="11.25" customHeight="1">
      <c r="A28" s="108"/>
      <c r="B28" s="30" t="s">
        <v>49</v>
      </c>
      <c r="C28" s="31"/>
      <c r="D28" s="32"/>
      <c r="E28" s="89"/>
      <c r="F28" s="88"/>
      <c r="G28" s="88"/>
      <c r="H28" s="88"/>
      <c r="I28" s="88"/>
      <c r="J28" s="33"/>
      <c r="K28" s="33"/>
      <c r="L28" s="33"/>
      <c r="M28" s="33"/>
      <c r="N28" s="33"/>
      <c r="O28" s="33"/>
      <c r="P28" s="90"/>
      <c r="Q28" s="33"/>
      <c r="R28" s="33"/>
      <c r="S28" s="33"/>
      <c r="T28" s="33"/>
      <c r="U28" s="33"/>
      <c r="V28" s="33"/>
      <c r="W28" s="33"/>
      <c r="X28" s="88"/>
    </row>
    <row r="29" spans="1:24" ht="11.25" customHeight="1">
      <c r="A29" s="108"/>
      <c r="B29" s="30"/>
      <c r="C29" s="31"/>
      <c r="D29" s="32"/>
      <c r="E29" s="89"/>
      <c r="F29" s="88"/>
      <c r="G29" s="88"/>
      <c r="H29" s="88"/>
      <c r="I29" s="88"/>
      <c r="J29" s="33"/>
      <c r="K29" s="33"/>
      <c r="L29" s="88"/>
      <c r="M29" s="33"/>
      <c r="N29" s="33"/>
      <c r="O29" s="88"/>
      <c r="P29" s="90"/>
      <c r="Q29" s="33"/>
      <c r="R29" s="33"/>
      <c r="S29" s="33"/>
      <c r="T29" s="33"/>
      <c r="U29" s="33"/>
      <c r="V29" s="33"/>
      <c r="W29" s="33"/>
      <c r="X29" s="34"/>
    </row>
    <row r="30" spans="1:24" ht="11.25" customHeight="1" thickBot="1">
      <c r="A30" s="109"/>
      <c r="B30" s="35"/>
      <c r="C30" s="36"/>
      <c r="D30" s="37"/>
      <c r="E30" s="91"/>
      <c r="F30" s="92"/>
      <c r="G30" s="92"/>
      <c r="H30" s="92"/>
      <c r="I30" s="92"/>
      <c r="J30" s="92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4"/>
    </row>
    <row r="31" spans="1:24" ht="11.25" customHeight="1">
      <c r="A31" s="107" t="s">
        <v>24</v>
      </c>
      <c r="B31" s="25" t="s">
        <v>140</v>
      </c>
      <c r="C31" s="26"/>
      <c r="D31" s="27"/>
      <c r="E31" s="88" t="s">
        <v>64</v>
      </c>
      <c r="F31" s="88"/>
      <c r="G31" s="88"/>
      <c r="H31" s="88"/>
      <c r="I31" s="88"/>
      <c r="J31" s="88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4"/>
    </row>
    <row r="32" spans="1:24" ht="11.25" customHeight="1">
      <c r="A32" s="108"/>
      <c r="B32" s="30" t="s">
        <v>80</v>
      </c>
      <c r="C32" s="31"/>
      <c r="D32" s="32"/>
      <c r="E32" s="89"/>
      <c r="F32" s="88" t="s">
        <v>64</v>
      </c>
      <c r="G32" s="88"/>
      <c r="H32" s="88"/>
      <c r="I32" s="88"/>
      <c r="J32" s="33"/>
      <c r="K32" s="33"/>
      <c r="L32" s="33"/>
      <c r="M32" s="33"/>
      <c r="N32" s="33"/>
      <c r="O32" s="33"/>
      <c r="P32" s="90"/>
      <c r="Q32" s="33"/>
      <c r="R32" s="33"/>
      <c r="S32" s="33"/>
      <c r="T32" s="33"/>
      <c r="U32" s="33"/>
      <c r="V32" s="33"/>
      <c r="W32" s="33"/>
      <c r="X32" s="34"/>
    </row>
    <row r="33" spans="1:24" ht="11.25" customHeight="1">
      <c r="A33" s="108"/>
      <c r="B33" s="30" t="s">
        <v>79</v>
      </c>
      <c r="C33" s="31"/>
      <c r="D33" s="32"/>
      <c r="E33" s="89"/>
      <c r="F33" s="88"/>
      <c r="G33" s="88" t="s">
        <v>64</v>
      </c>
      <c r="H33" s="88"/>
      <c r="I33" s="88"/>
      <c r="J33" s="33"/>
      <c r="K33" s="33"/>
      <c r="L33" s="33"/>
      <c r="M33" s="33"/>
      <c r="N33" s="33"/>
      <c r="O33" s="33"/>
      <c r="P33" s="90"/>
      <c r="Q33" s="33"/>
      <c r="R33" s="33"/>
      <c r="S33" s="33"/>
      <c r="T33" s="33"/>
      <c r="U33" s="33"/>
      <c r="V33" s="33"/>
      <c r="W33" s="33"/>
      <c r="X33" s="34"/>
    </row>
    <row r="34" spans="1:24" ht="11.25" customHeight="1">
      <c r="A34" s="108"/>
      <c r="B34" s="30" t="s">
        <v>67</v>
      </c>
      <c r="C34" s="31"/>
      <c r="D34" s="32"/>
      <c r="E34" s="89"/>
      <c r="F34" s="88"/>
      <c r="G34" s="88"/>
      <c r="H34" s="88" t="s">
        <v>64</v>
      </c>
      <c r="I34" s="88"/>
      <c r="J34" s="33"/>
      <c r="K34" s="33"/>
      <c r="L34" s="33"/>
      <c r="M34" s="33"/>
      <c r="N34" s="33"/>
      <c r="O34" s="33"/>
      <c r="P34" s="90"/>
      <c r="Q34" s="33"/>
      <c r="R34" s="33"/>
      <c r="S34" s="33"/>
      <c r="T34" s="33"/>
      <c r="U34" s="33"/>
      <c r="V34" s="33"/>
      <c r="W34" s="33"/>
      <c r="X34" s="34"/>
    </row>
    <row r="35" spans="1:24" ht="11.25" customHeight="1">
      <c r="A35" s="108"/>
      <c r="B35" s="30" t="s">
        <v>78</v>
      </c>
      <c r="C35" s="31"/>
      <c r="D35" s="32"/>
      <c r="E35" s="89"/>
      <c r="F35" s="88"/>
      <c r="G35" s="88"/>
      <c r="H35" s="88"/>
      <c r="I35" s="88" t="s">
        <v>64</v>
      </c>
      <c r="J35" s="33"/>
      <c r="K35" s="33"/>
      <c r="L35" s="33"/>
      <c r="M35" s="33"/>
      <c r="N35" s="33"/>
      <c r="O35" s="33"/>
      <c r="P35" s="90"/>
      <c r="Q35" s="33"/>
      <c r="R35" s="33"/>
      <c r="S35" s="33"/>
      <c r="T35" s="33"/>
      <c r="U35" s="33"/>
      <c r="V35" s="33"/>
      <c r="W35" s="33"/>
      <c r="X35" s="34"/>
    </row>
    <row r="36" spans="1:24" ht="11.25" customHeight="1">
      <c r="A36" s="108"/>
      <c r="B36" s="30" t="s">
        <v>68</v>
      </c>
      <c r="C36" s="31"/>
      <c r="D36" s="32"/>
      <c r="E36" s="89"/>
      <c r="F36" s="88"/>
      <c r="G36" s="88"/>
      <c r="H36" s="88"/>
      <c r="I36" s="88"/>
      <c r="J36" s="88" t="s">
        <v>64</v>
      </c>
      <c r="K36" s="33"/>
      <c r="L36" s="33"/>
      <c r="M36" s="33"/>
      <c r="N36" s="33"/>
      <c r="O36" s="33"/>
      <c r="P36" s="90"/>
      <c r="Q36" s="33"/>
      <c r="R36" s="33"/>
      <c r="S36" s="33"/>
      <c r="T36" s="33"/>
      <c r="U36" s="33"/>
      <c r="V36" s="33"/>
      <c r="W36" s="33"/>
      <c r="X36" s="34"/>
    </row>
    <row r="37" spans="1:24" ht="11.25" customHeight="1">
      <c r="A37" s="108"/>
      <c r="B37" s="30" t="s">
        <v>77</v>
      </c>
      <c r="C37" s="31"/>
      <c r="D37" s="32"/>
      <c r="E37" s="89"/>
      <c r="F37" s="88"/>
      <c r="G37" s="88"/>
      <c r="H37" s="88"/>
      <c r="I37" s="88"/>
      <c r="J37" s="33"/>
      <c r="K37" s="88" t="s">
        <v>64</v>
      </c>
      <c r="L37" s="33"/>
      <c r="M37" s="33"/>
      <c r="N37" s="33"/>
      <c r="O37" s="33"/>
      <c r="P37" s="90"/>
      <c r="Q37" s="33"/>
      <c r="R37" s="33"/>
      <c r="S37" s="33"/>
      <c r="T37" s="33"/>
      <c r="U37" s="33"/>
      <c r="V37" s="33"/>
      <c r="W37" s="33"/>
      <c r="X37" s="34"/>
    </row>
    <row r="38" spans="1:24" ht="11.25" customHeight="1">
      <c r="A38" s="108"/>
      <c r="B38" s="30" t="s">
        <v>76</v>
      </c>
      <c r="C38" s="31"/>
      <c r="D38" s="32"/>
      <c r="E38" s="89"/>
      <c r="F38" s="88"/>
      <c r="G38" s="88"/>
      <c r="H38" s="88"/>
      <c r="I38" s="88"/>
      <c r="J38" s="33"/>
      <c r="K38" s="33"/>
      <c r="L38" s="88" t="s">
        <v>64</v>
      </c>
      <c r="M38" s="33"/>
      <c r="N38" s="33"/>
      <c r="O38" s="33"/>
      <c r="P38" s="90"/>
      <c r="Q38" s="33"/>
      <c r="R38" s="33"/>
      <c r="S38" s="33"/>
      <c r="T38" s="33"/>
      <c r="U38" s="33"/>
      <c r="V38" s="33"/>
      <c r="W38" s="33"/>
      <c r="X38" s="34"/>
    </row>
    <row r="39" spans="1:24" ht="11.25" customHeight="1">
      <c r="A39" s="108"/>
      <c r="B39" s="30" t="s">
        <v>82</v>
      </c>
      <c r="C39" s="31"/>
      <c r="D39" s="32"/>
      <c r="E39" s="89"/>
      <c r="F39" s="88"/>
      <c r="G39" s="88"/>
      <c r="H39" s="88"/>
      <c r="I39" s="88"/>
      <c r="J39" s="33"/>
      <c r="K39" s="33"/>
      <c r="L39" s="33"/>
      <c r="M39" s="88" t="s">
        <v>64</v>
      </c>
      <c r="N39" s="88"/>
      <c r="O39" s="88"/>
      <c r="P39" s="33"/>
      <c r="Q39" s="33"/>
      <c r="R39" s="33"/>
      <c r="S39" s="33"/>
      <c r="T39" s="33"/>
      <c r="U39" s="33"/>
      <c r="V39" s="33"/>
      <c r="W39" s="33"/>
      <c r="X39" s="34"/>
    </row>
    <row r="40" spans="1:24" ht="11.25" customHeight="1">
      <c r="A40" s="108"/>
      <c r="B40" s="30" t="s">
        <v>83</v>
      </c>
      <c r="C40" s="31"/>
      <c r="D40" s="32"/>
      <c r="E40" s="89"/>
      <c r="F40" s="88"/>
      <c r="G40" s="88"/>
      <c r="H40" s="88"/>
      <c r="I40" s="88"/>
      <c r="J40" s="33"/>
      <c r="K40" s="33"/>
      <c r="L40" s="33"/>
      <c r="M40" s="88"/>
      <c r="N40" s="88" t="s">
        <v>64</v>
      </c>
      <c r="O40" s="88"/>
      <c r="P40" s="33"/>
      <c r="Q40" s="33"/>
      <c r="R40" s="33"/>
      <c r="S40" s="33"/>
      <c r="T40" s="33"/>
      <c r="U40" s="33"/>
      <c r="V40" s="33"/>
      <c r="W40" s="33"/>
      <c r="X40" s="34"/>
    </row>
    <row r="41" spans="1:24" ht="11.25" customHeight="1">
      <c r="A41" s="108"/>
      <c r="B41" s="30" t="s">
        <v>88</v>
      </c>
      <c r="C41" s="31"/>
      <c r="D41" s="32"/>
      <c r="E41" s="89"/>
      <c r="F41" s="88"/>
      <c r="G41" s="88"/>
      <c r="H41" s="88"/>
      <c r="I41" s="88"/>
      <c r="J41" s="33"/>
      <c r="K41" s="33"/>
      <c r="L41" s="33"/>
      <c r="M41" s="88"/>
      <c r="N41" s="88"/>
      <c r="O41" s="88" t="s">
        <v>64</v>
      </c>
      <c r="P41" s="33"/>
      <c r="Q41" s="33"/>
      <c r="R41" s="33"/>
      <c r="S41" s="33"/>
      <c r="T41" s="33"/>
      <c r="U41" s="33"/>
      <c r="V41" s="33"/>
      <c r="W41" s="33"/>
      <c r="X41" s="34"/>
    </row>
    <row r="42" spans="1:24" ht="11.25" customHeight="1">
      <c r="A42" s="108"/>
      <c r="B42" s="30" t="s">
        <v>75</v>
      </c>
      <c r="C42" s="31"/>
      <c r="D42" s="32"/>
      <c r="E42" s="89"/>
      <c r="F42" s="88"/>
      <c r="G42" s="88"/>
      <c r="H42" s="88"/>
      <c r="I42" s="88"/>
      <c r="J42" s="33"/>
      <c r="K42" s="33"/>
      <c r="L42" s="33"/>
      <c r="M42" s="88"/>
      <c r="N42" s="88"/>
      <c r="O42" s="88"/>
      <c r="P42" s="88" t="s">
        <v>64</v>
      </c>
      <c r="Q42" s="33"/>
      <c r="R42" s="33"/>
      <c r="S42" s="33"/>
      <c r="T42" s="33"/>
      <c r="U42" s="33"/>
      <c r="V42" s="33"/>
      <c r="W42" s="33"/>
      <c r="X42" s="34"/>
    </row>
    <row r="43" spans="1:24" ht="11.25" customHeight="1">
      <c r="A43" s="108"/>
      <c r="B43" s="30" t="s">
        <v>74</v>
      </c>
      <c r="C43" s="31"/>
      <c r="D43" s="32"/>
      <c r="E43" s="89"/>
      <c r="F43" s="88"/>
      <c r="G43" s="88"/>
      <c r="H43" s="88"/>
      <c r="I43" s="88"/>
      <c r="J43" s="33"/>
      <c r="K43" s="33"/>
      <c r="L43" s="33"/>
      <c r="M43" s="88"/>
      <c r="N43" s="88"/>
      <c r="O43" s="88"/>
      <c r="P43" s="33"/>
      <c r="Q43" s="88" t="s">
        <v>64</v>
      </c>
      <c r="R43" s="33"/>
      <c r="S43" s="33"/>
      <c r="T43" s="33"/>
      <c r="U43" s="33"/>
      <c r="V43" s="33"/>
      <c r="W43" s="33"/>
      <c r="X43" s="34"/>
    </row>
    <row r="44" spans="1:24" ht="11.25" customHeight="1">
      <c r="A44" s="108"/>
      <c r="B44" s="30" t="s">
        <v>73</v>
      </c>
      <c r="C44" s="31"/>
      <c r="D44" s="32"/>
      <c r="E44" s="89"/>
      <c r="F44" s="88"/>
      <c r="G44" s="88"/>
      <c r="H44" s="88"/>
      <c r="I44" s="88"/>
      <c r="J44" s="33"/>
      <c r="K44" s="33"/>
      <c r="L44" s="33"/>
      <c r="M44" s="88"/>
      <c r="N44" s="88"/>
      <c r="O44" s="88"/>
      <c r="P44" s="33"/>
      <c r="Q44" s="33"/>
      <c r="R44" s="88" t="s">
        <v>64</v>
      </c>
      <c r="S44" s="33"/>
      <c r="T44" s="33"/>
      <c r="U44" s="33"/>
      <c r="V44" s="33"/>
      <c r="W44" s="33"/>
      <c r="X44" s="34"/>
    </row>
    <row r="45" spans="1:24" ht="11.25" customHeight="1">
      <c r="A45" s="108"/>
      <c r="B45" s="30" t="s">
        <v>72</v>
      </c>
      <c r="C45" s="31"/>
      <c r="D45" s="32"/>
      <c r="E45" s="89"/>
      <c r="F45" s="88"/>
      <c r="G45" s="88"/>
      <c r="H45" s="88"/>
      <c r="I45" s="88"/>
      <c r="J45" s="33"/>
      <c r="K45" s="33"/>
      <c r="L45" s="33"/>
      <c r="M45" s="33"/>
      <c r="N45" s="33"/>
      <c r="O45" s="33"/>
      <c r="P45" s="90"/>
      <c r="Q45" s="33"/>
      <c r="R45" s="33"/>
      <c r="S45" s="88" t="s">
        <v>64</v>
      </c>
      <c r="T45" s="88"/>
      <c r="U45" s="88"/>
      <c r="V45" s="33"/>
      <c r="W45" s="33"/>
      <c r="X45" s="33"/>
    </row>
    <row r="46" spans="1:24" ht="11.25" customHeight="1">
      <c r="A46" s="108"/>
      <c r="B46" s="30" t="s">
        <v>71</v>
      </c>
      <c r="C46" s="31"/>
      <c r="D46" s="32"/>
      <c r="E46" s="89"/>
      <c r="F46" s="88"/>
      <c r="G46" s="88"/>
      <c r="H46" s="88"/>
      <c r="I46" s="88"/>
      <c r="J46" s="33"/>
      <c r="K46" s="33"/>
      <c r="L46" s="33"/>
      <c r="M46" s="33"/>
      <c r="N46" s="33"/>
      <c r="O46" s="33"/>
      <c r="P46" s="90"/>
      <c r="Q46" s="33"/>
      <c r="R46" s="33"/>
      <c r="S46" s="88"/>
      <c r="T46" s="88" t="s">
        <v>64</v>
      </c>
      <c r="U46" s="88"/>
      <c r="V46" s="33"/>
      <c r="W46" s="33"/>
      <c r="X46" s="33"/>
    </row>
    <row r="47" spans="1:24" ht="11.25" customHeight="1">
      <c r="A47" s="108"/>
      <c r="B47" s="30" t="s">
        <v>70</v>
      </c>
      <c r="C47" s="31"/>
      <c r="D47" s="32"/>
      <c r="E47" s="89"/>
      <c r="F47" s="88"/>
      <c r="G47" s="88"/>
      <c r="H47" s="88"/>
      <c r="I47" s="88"/>
      <c r="J47" s="33"/>
      <c r="K47" s="33"/>
      <c r="L47" s="33"/>
      <c r="M47" s="33"/>
      <c r="N47" s="33"/>
      <c r="O47" s="33"/>
      <c r="P47" s="90"/>
      <c r="Q47" s="33"/>
      <c r="R47" s="33"/>
      <c r="S47" s="88"/>
      <c r="T47" s="88"/>
      <c r="U47" s="88" t="s">
        <v>64</v>
      </c>
      <c r="V47" s="33"/>
      <c r="W47" s="33"/>
      <c r="X47" s="33"/>
    </row>
    <row r="48" spans="1:24" ht="11.25" customHeight="1">
      <c r="A48" s="108"/>
      <c r="B48" s="30" t="s">
        <v>85</v>
      </c>
      <c r="C48" s="31"/>
      <c r="D48" s="32"/>
      <c r="E48" s="89"/>
      <c r="F48" s="88"/>
      <c r="G48" s="88"/>
      <c r="H48" s="88"/>
      <c r="I48" s="88"/>
      <c r="J48" s="33"/>
      <c r="K48" s="33"/>
      <c r="L48" s="33"/>
      <c r="M48" s="33"/>
      <c r="N48" s="33"/>
      <c r="O48" s="33"/>
      <c r="P48" s="90"/>
      <c r="Q48" s="33"/>
      <c r="R48" s="33"/>
      <c r="S48" s="88"/>
      <c r="T48" s="88"/>
      <c r="U48" s="88"/>
      <c r="V48" s="88" t="s">
        <v>64</v>
      </c>
      <c r="W48" s="33"/>
      <c r="X48" s="33"/>
    </row>
    <row r="49" spans="1:24" ht="11.25" customHeight="1">
      <c r="A49" s="108"/>
      <c r="B49" s="30" t="s">
        <v>86</v>
      </c>
      <c r="C49" s="31"/>
      <c r="D49" s="32"/>
      <c r="E49" s="89"/>
      <c r="F49" s="88"/>
      <c r="G49" s="88"/>
      <c r="H49" s="88"/>
      <c r="I49" s="88"/>
      <c r="J49" s="33"/>
      <c r="K49" s="33"/>
      <c r="L49" s="33"/>
      <c r="M49" s="33"/>
      <c r="N49" s="33"/>
      <c r="O49" s="33"/>
      <c r="P49" s="90"/>
      <c r="Q49" s="33"/>
      <c r="R49" s="33"/>
      <c r="S49" s="88"/>
      <c r="T49" s="88"/>
      <c r="U49" s="88"/>
      <c r="V49" s="33"/>
      <c r="W49" s="88" t="s">
        <v>64</v>
      </c>
      <c r="X49" s="33"/>
    </row>
    <row r="50" spans="1:24" ht="11.25" customHeight="1">
      <c r="A50" s="108"/>
      <c r="B50" s="30" t="s">
        <v>87</v>
      </c>
      <c r="C50" s="31"/>
      <c r="D50" s="32"/>
      <c r="E50" s="89"/>
      <c r="F50" s="88"/>
      <c r="G50" s="88"/>
      <c r="H50" s="88"/>
      <c r="I50" s="88"/>
      <c r="J50" s="33"/>
      <c r="K50" s="33"/>
      <c r="L50" s="33"/>
      <c r="M50" s="33"/>
      <c r="N50" s="33"/>
      <c r="O50" s="33"/>
      <c r="P50" s="90"/>
      <c r="Q50" s="33"/>
      <c r="R50" s="33"/>
      <c r="S50" s="88"/>
      <c r="T50" s="88"/>
      <c r="U50" s="88"/>
      <c r="V50" s="33"/>
      <c r="W50" s="33"/>
      <c r="X50" s="88" t="s">
        <v>64</v>
      </c>
    </row>
    <row r="51" spans="1:24" ht="11.25" customHeight="1" thickBot="1">
      <c r="A51" s="109"/>
      <c r="B51" s="30"/>
      <c r="C51" s="36"/>
      <c r="D51" s="37"/>
      <c r="E51" s="39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95"/>
    </row>
    <row r="52" spans="1:24" ht="26.25" customHeight="1">
      <c r="A52" s="40"/>
      <c r="B52" s="41" t="s">
        <v>25</v>
      </c>
      <c r="C52" s="42"/>
      <c r="D52" s="86" t="s">
        <v>31</v>
      </c>
      <c r="E52" s="43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5"/>
    </row>
    <row r="53" spans="1:24" ht="25.5">
      <c r="A53" s="46"/>
      <c r="B53" s="47" t="s">
        <v>26</v>
      </c>
      <c r="C53" s="48"/>
      <c r="D53" s="85" t="s">
        <v>32</v>
      </c>
      <c r="E53" s="50" t="str">
        <f t="shared" ref="E53:X53" si="1">IF( COUNTIF(E30:E51,"○") &lt;&gt; 0, "N", IF( COUNTIF(E30:E51,"●") &lt;&gt; 0, "E", IF( COUNTIF(E30:E51,"◎") &lt;&gt; 0, "L", IF( COUNTIF(E30:E51,"☆") &lt;&gt; 0, "I", ""))) )</f>
        <v>N</v>
      </c>
      <c r="F53" s="50" t="str">
        <f t="shared" si="1"/>
        <v>N</v>
      </c>
      <c r="G53" s="50" t="str">
        <f t="shared" si="1"/>
        <v>N</v>
      </c>
      <c r="H53" s="50" t="str">
        <f t="shared" si="1"/>
        <v>N</v>
      </c>
      <c r="I53" s="50" t="str">
        <f t="shared" si="1"/>
        <v>N</v>
      </c>
      <c r="J53" s="50" t="str">
        <f t="shared" si="1"/>
        <v>N</v>
      </c>
      <c r="K53" s="50" t="str">
        <f t="shared" si="1"/>
        <v>N</v>
      </c>
      <c r="L53" s="50" t="str">
        <f t="shared" si="1"/>
        <v>N</v>
      </c>
      <c r="M53" s="50" t="str">
        <f t="shared" si="1"/>
        <v>N</v>
      </c>
      <c r="N53" s="50" t="str">
        <f t="shared" si="1"/>
        <v>N</v>
      </c>
      <c r="O53" s="50" t="str">
        <f t="shared" si="1"/>
        <v>N</v>
      </c>
      <c r="P53" s="50" t="str">
        <f t="shared" si="1"/>
        <v>N</v>
      </c>
      <c r="Q53" s="50" t="str">
        <f t="shared" si="1"/>
        <v>N</v>
      </c>
      <c r="R53" s="50" t="str">
        <f t="shared" si="1"/>
        <v>N</v>
      </c>
      <c r="S53" s="50" t="str">
        <f t="shared" si="1"/>
        <v>N</v>
      </c>
      <c r="T53" s="50" t="str">
        <f t="shared" si="1"/>
        <v>N</v>
      </c>
      <c r="U53" s="50" t="str">
        <f t="shared" si="1"/>
        <v>N</v>
      </c>
      <c r="V53" s="50" t="str">
        <f t="shared" si="1"/>
        <v>N</v>
      </c>
      <c r="W53" s="50" t="str">
        <f t="shared" si="1"/>
        <v>N</v>
      </c>
      <c r="X53" s="50" t="str">
        <f t="shared" si="1"/>
        <v>N</v>
      </c>
    </row>
    <row r="54" spans="1:24">
      <c r="A54" s="51"/>
      <c r="B54" s="52"/>
      <c r="C54" s="48"/>
      <c r="D54" s="49" t="s">
        <v>33</v>
      </c>
      <c r="E54" s="53"/>
      <c r="F54" s="54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6"/>
    </row>
    <row r="55" spans="1:24" ht="21.95" customHeight="1" thickBot="1">
      <c r="A55" s="57" t="s">
        <v>27</v>
      </c>
      <c r="B55" s="58"/>
      <c r="C55" s="59"/>
      <c r="D55" s="87" t="s">
        <v>34</v>
      </c>
      <c r="E55" s="60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2"/>
    </row>
    <row r="56" spans="1:24" ht="53.25" customHeight="1">
      <c r="A56" s="63" t="s">
        <v>28</v>
      </c>
      <c r="B56" s="64"/>
      <c r="C56" s="65" t="s">
        <v>89</v>
      </c>
      <c r="D56" s="66" t="s">
        <v>30</v>
      </c>
      <c r="E56" s="67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</row>
    <row r="57" spans="1:24" s="77" customFormat="1" ht="13.5" customHeight="1" thickBot="1">
      <c r="A57" s="70"/>
      <c r="B57" s="71"/>
      <c r="C57" s="72" t="s">
        <v>90</v>
      </c>
      <c r="D57" s="73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6"/>
    </row>
    <row r="58" spans="1:24" s="77" customFormat="1" ht="13.5" customHeight="1">
      <c r="A58" s="78"/>
      <c r="B58" s="79"/>
      <c r="C58" s="80"/>
      <c r="D58" s="79"/>
      <c r="E58" s="78"/>
      <c r="F58" s="78"/>
      <c r="G58" s="78"/>
      <c r="H58" s="78"/>
      <c r="I58" s="78"/>
      <c r="J58" s="78"/>
      <c r="K58" s="78"/>
      <c r="L58" s="81" t="s">
        <v>35</v>
      </c>
      <c r="M58" s="78"/>
      <c r="N58" s="81"/>
      <c r="O58" s="81"/>
      <c r="P58" s="78"/>
      <c r="Q58" s="78"/>
      <c r="R58" s="78"/>
      <c r="S58" s="78"/>
      <c r="T58" s="78"/>
      <c r="U58" s="78"/>
      <c r="V58" s="78"/>
      <c r="W58" s="78"/>
      <c r="X58" s="78"/>
    </row>
    <row r="59" spans="1:24" ht="15.75" customHeight="1">
      <c r="A59" s="82" t="s">
        <v>13</v>
      </c>
      <c r="B59" s="83" t="s">
        <v>12</v>
      </c>
      <c r="C59" s="83" t="s">
        <v>38</v>
      </c>
      <c r="D59" s="83" t="s">
        <v>10</v>
      </c>
      <c r="E59" s="83">
        <f>IF(E53="",0,GetNextPCLID())</f>
        <v>1</v>
      </c>
      <c r="F59" s="83">
        <f>IF(F53="",0,MAX($E59:E59)+1)</f>
        <v>2</v>
      </c>
      <c r="G59" s="83">
        <f>IF(G53="",0,MAX($E59:F59)+1)</f>
        <v>3</v>
      </c>
      <c r="H59" s="83">
        <f>IF(H53="",0,MAX($E59:G59)+1)</f>
        <v>4</v>
      </c>
      <c r="I59" s="83">
        <f>IF(I53="",0,MAX($E59:H59)+1)</f>
        <v>5</v>
      </c>
      <c r="J59" s="83">
        <f>IF(J53="",0,MAX($E59:I59)+1)</f>
        <v>6</v>
      </c>
      <c r="K59" s="83">
        <f>IF(K53="",0,MAX($E59:J59)+1)</f>
        <v>7</v>
      </c>
      <c r="L59" s="83">
        <f>IF(L53="",0,MAX($E59:K59)+1)</f>
        <v>8</v>
      </c>
      <c r="M59" s="83">
        <f>IF(M53="",0,MAX($E59:L59)+1)</f>
        <v>9</v>
      </c>
      <c r="N59" s="83">
        <f>IF(N53="",0,MAX($E59:M59)+1)</f>
        <v>10</v>
      </c>
      <c r="O59" s="83">
        <f>IF(O53="",0,MAX($E59:N59)+1)</f>
        <v>11</v>
      </c>
      <c r="P59" s="83">
        <f>IF(P53="",0,MAX($E59:O59)+1)</f>
        <v>12</v>
      </c>
      <c r="Q59" s="83">
        <f>IF(Q53="",0,MAX($E59:P59)+1)</f>
        <v>13</v>
      </c>
      <c r="R59" s="83">
        <f>IF(R53="",0,MAX($E59:Q59)+1)</f>
        <v>14</v>
      </c>
      <c r="S59" s="83">
        <f>IF(S53="",0,MAX($E59:R59)+1)</f>
        <v>15</v>
      </c>
      <c r="T59" s="83">
        <f>IF(T53="",0,MAX($E59:S59)+1)</f>
        <v>16</v>
      </c>
      <c r="U59" s="83">
        <f>IF(U53="",0,MAX($E59:T59)+1)</f>
        <v>17</v>
      </c>
      <c r="V59" s="83">
        <f>IF(V53="",0,MAX($E59:U59)+1)</f>
        <v>18</v>
      </c>
      <c r="W59" s="83">
        <f>IF(W53="",0,MAX($E59:V59)+1)</f>
        <v>19</v>
      </c>
      <c r="X59" s="83">
        <f>IF(X53="",0,MAX($E59:W59)+1)</f>
        <v>20</v>
      </c>
    </row>
    <row r="60" spans="1:24" ht="15" customHeight="1">
      <c r="A60" s="82" t="s">
        <v>14</v>
      </c>
      <c r="B60" s="83" t="s">
        <v>4</v>
      </c>
      <c r="C60" s="6" t="s">
        <v>36</v>
      </c>
      <c r="D60" s="83" t="s">
        <v>5</v>
      </c>
      <c r="E60" s="83" t="str">
        <f t="shared" ref="E60:X60" si="2">E53</f>
        <v>N</v>
      </c>
      <c r="F60" s="83" t="str">
        <f t="shared" si="2"/>
        <v>N</v>
      </c>
      <c r="G60" s="83" t="str">
        <f t="shared" si="2"/>
        <v>N</v>
      </c>
      <c r="H60" s="83" t="str">
        <f t="shared" si="2"/>
        <v>N</v>
      </c>
      <c r="I60" s="83" t="str">
        <f t="shared" si="2"/>
        <v>N</v>
      </c>
      <c r="J60" s="83" t="str">
        <f t="shared" si="2"/>
        <v>N</v>
      </c>
      <c r="K60" s="83" t="str">
        <f t="shared" si="2"/>
        <v>N</v>
      </c>
      <c r="L60" s="83" t="str">
        <f t="shared" si="2"/>
        <v>N</v>
      </c>
      <c r="M60" s="83" t="str">
        <f t="shared" si="2"/>
        <v>N</v>
      </c>
      <c r="N60" s="83" t="str">
        <f t="shared" si="2"/>
        <v>N</v>
      </c>
      <c r="O60" s="83" t="str">
        <f t="shared" si="2"/>
        <v>N</v>
      </c>
      <c r="P60" s="83" t="str">
        <f t="shared" si="2"/>
        <v>N</v>
      </c>
      <c r="Q60" s="83" t="str">
        <f t="shared" si="2"/>
        <v>N</v>
      </c>
      <c r="R60" s="83" t="str">
        <f t="shared" si="2"/>
        <v>N</v>
      </c>
      <c r="S60" s="83" t="str">
        <f t="shared" si="2"/>
        <v>N</v>
      </c>
      <c r="T60" s="83" t="str">
        <f t="shared" si="2"/>
        <v>N</v>
      </c>
      <c r="U60" s="83" t="str">
        <f t="shared" si="2"/>
        <v>N</v>
      </c>
      <c r="V60" s="83" t="str">
        <f t="shared" si="2"/>
        <v>N</v>
      </c>
      <c r="W60" s="83" t="str">
        <f t="shared" si="2"/>
        <v>N</v>
      </c>
      <c r="X60" s="83" t="str">
        <f t="shared" si="2"/>
        <v>N</v>
      </c>
    </row>
    <row r="61" spans="1:24" ht="12.95" customHeight="1">
      <c r="A61" s="82" t="s">
        <v>15</v>
      </c>
      <c r="B61" s="83" t="s">
        <v>41</v>
      </c>
      <c r="C61" s="84" t="s">
        <v>9</v>
      </c>
      <c r="D61" s="83" t="s">
        <v>1</v>
      </c>
      <c r="E61" s="83">
        <f>GetStatusCount(E$60:X$60,"N",0)</f>
        <v>20</v>
      </c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</row>
    <row r="62" spans="1:24" ht="12.95" customHeight="1">
      <c r="A62" s="82" t="s">
        <v>16</v>
      </c>
      <c r="B62" s="83" t="s">
        <v>6</v>
      </c>
      <c r="C62" s="6" t="s">
        <v>37</v>
      </c>
      <c r="D62" s="83" t="s">
        <v>2</v>
      </c>
      <c r="E62" s="83">
        <f>GetStatusCount(E$60:X$60,"E",0)</f>
        <v>0</v>
      </c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</row>
    <row r="63" spans="1:24" ht="12.95" customHeight="1">
      <c r="A63" s="82"/>
      <c r="B63" s="83"/>
      <c r="C63" s="83"/>
      <c r="D63" s="83" t="s">
        <v>3</v>
      </c>
      <c r="E63" s="83">
        <f>GetStatusCount(E$60:X$60,"L",0)</f>
        <v>0</v>
      </c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</row>
    <row r="64" spans="1:24" ht="12.95" customHeight="1">
      <c r="A64" s="6"/>
      <c r="B64" s="6"/>
      <c r="C64" s="6"/>
      <c r="D64" s="83" t="s">
        <v>7</v>
      </c>
      <c r="E64" s="83">
        <f>GetStatusCount(E$60:X$60,"I",0)</f>
        <v>0</v>
      </c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</row>
    <row r="65" spans="1:24" ht="12.9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</row>
    <row r="66" spans="1:24" ht="12.9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</row>
    <row r="67" spans="1:24" ht="12.9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</row>
    <row r="68" spans="1:24" ht="12.9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</row>
    <row r="69" spans="1:24" ht="12.9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</row>
    <row r="70" spans="1:24" ht="12.9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</row>
    <row r="71" spans="1:24" ht="12.9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</row>
    <row r="72" spans="1:24" ht="12.9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</row>
    <row r="73" spans="1:24" ht="12.9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</row>
    <row r="74" spans="1:24" ht="12.9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spans="1:24" ht="12.9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</row>
  </sheetData>
  <mergeCells count="3">
    <mergeCell ref="U2:X5"/>
    <mergeCell ref="A8:A30"/>
    <mergeCell ref="A31:A51"/>
  </mergeCells>
  <phoneticPr fontId="8" type="noConversion"/>
  <printOptions gridLinesSet="0"/>
  <pageMargins left="0.59055118110236227" right="0.19685039370078741" top="0.39370078740157483" bottom="0.39370078740157483" header="0.11811023622047245" footer="0.11811023622047245"/>
  <pageSetup paperSize="9" scale="90" orientation="portrait" horizontalDpi="300" verticalDpi="300" r:id="rId1"/>
  <headerFooter alignWithMargins="0">
    <oddFooter>制作人: YuYang &amp;D&amp;R 第 &amp;P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049" r:id="rId4" name="Button 1">
              <controlPr locked="0" defaultSize="0" print="0" autoFill="0" autoLine="0" autoPict="0" macro="[0]!ContentsClear">
                <anchor moveWithCells="1" sizeWithCells="1">
                  <from>
                    <xdr:col>3</xdr:col>
                    <xdr:colOff>133350</xdr:colOff>
                    <xdr:row>0</xdr:row>
                    <xdr:rowOff>19050</xdr:rowOff>
                  </from>
                  <to>
                    <xdr:col>3</xdr:col>
                    <xdr:colOff>933450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0" r:id="rId5" name="Button 2">
              <controlPr locked="0" defaultSize="0" print="0" autoFill="0" autoLine="0" autoPict="0" macro="[0]!CalcID">
                <anchor moveWithCells="1" sizeWithCells="1">
                  <from>
                    <xdr:col>3</xdr:col>
                    <xdr:colOff>133350</xdr:colOff>
                    <xdr:row>2</xdr:row>
                    <xdr:rowOff>85725</xdr:rowOff>
                  </from>
                  <to>
                    <xdr:col>3</xdr:col>
                    <xdr:colOff>933450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1" r:id="rId6" name="Button 3">
              <controlPr locked="0" defaultSize="0" print="0" autoFill="0" autoLine="0" autoPict="0" macro="[0]!SetHeade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2" r:id="rId7" name="Button 4">
              <controlPr locked="0" defaultSize="0" print="0" autoFill="0" autoLine="0" autoPict="0" macro="[0]!SetID">
                <anchor moveWithCells="1" sizeWithCells="1">
                  <from>
                    <xdr:col>4</xdr:col>
                    <xdr:colOff>19050</xdr:colOff>
                    <xdr:row>2</xdr:row>
                    <xdr:rowOff>85725</xdr:rowOff>
                  </from>
                  <to>
                    <xdr:col>8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3" r:id="rId8" name="Button 5">
              <controlPr locked="0" defaultSize="0" print="0" autoFill="0" autoLine="0" autoPict="0" macro="[0]!OnPrint">
                <anchor moveWithCells="1" sizeWithCells="1">
                  <from>
                    <xdr:col>8</xdr:col>
                    <xdr:colOff>161925</xdr:colOff>
                    <xdr:row>0</xdr:row>
                    <xdr:rowOff>28575</xdr:rowOff>
                  </from>
                  <to>
                    <xdr:col>11</xdr:col>
                    <xdr:colOff>142875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4" r:id="rId9" name="Button 6">
              <controlPr locked="0" defaultSize="0" print="0" autoFill="0" autoLine="0" autoPict="0" macro="[0]!CreateShee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5" r:id="rId10" name="Button 7">
              <controlPr locked="0" defaultSize="0" print="0" autoFill="0" autoLine="0" autoPict="0" macro="[0]!DeleteSheet">
                <anchor moveWithCells="1" sizeWithCells="1">
                  <from>
                    <xdr:col>1</xdr:col>
                    <xdr:colOff>628650</xdr:colOff>
                    <xdr:row>0</xdr:row>
                    <xdr:rowOff>28575</xdr:rowOff>
                  </from>
                  <to>
                    <xdr:col>2</xdr:col>
                    <xdr:colOff>666750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AA75"/>
  <sheetViews>
    <sheetView showGridLines="0" view="pageBreakPreview" topLeftCell="A19" zoomScale="130" zoomScaleNormal="130" zoomScaleSheetLayoutView="130" workbookViewId="0">
      <selection activeCell="B31" sqref="B31"/>
    </sheetView>
  </sheetViews>
  <sheetFormatPr defaultRowHeight="12.75"/>
  <cols>
    <col min="1" max="1" width="3.125" style="1" customWidth="1"/>
    <col min="2" max="2" width="10" style="1" customWidth="1"/>
    <col min="3" max="3" width="18.75" style="1" customWidth="1"/>
    <col min="4" max="4" width="12.5" style="1" customWidth="1"/>
    <col min="5" max="5" width="2.625" style="1" customWidth="1"/>
    <col min="6" max="13" width="2.25" style="1" customWidth="1"/>
    <col min="14" max="14" width="2.625" style="1" customWidth="1"/>
    <col min="15" max="24" width="2.25" style="1" customWidth="1"/>
    <col min="25" max="25" width="7" style="1" customWidth="1"/>
    <col min="26" max="28" width="2.125" style="1" customWidth="1"/>
    <col min="29" max="16384" width="9" style="1"/>
  </cols>
  <sheetData>
    <row r="1" spans="1:27">
      <c r="M1" s="2" t="s">
        <v>39</v>
      </c>
      <c r="N1" s="3"/>
      <c r="O1" s="3"/>
      <c r="P1" s="4"/>
      <c r="Q1" s="2" t="s">
        <v>40</v>
      </c>
      <c r="R1" s="3"/>
      <c r="S1" s="3"/>
      <c r="T1" s="4"/>
      <c r="U1" s="2" t="s">
        <v>0</v>
      </c>
      <c r="V1" s="3"/>
      <c r="W1" s="3"/>
      <c r="X1" s="4"/>
    </row>
    <row r="2" spans="1:27" ht="13.5" customHeight="1">
      <c r="M2" s="5"/>
      <c r="N2" s="6"/>
      <c r="O2" s="6"/>
      <c r="P2" s="7"/>
      <c r="Q2" s="5"/>
      <c r="R2" s="6"/>
      <c r="S2" s="6"/>
      <c r="T2" s="7"/>
      <c r="U2" s="98"/>
      <c r="V2" s="99"/>
      <c r="W2" s="99"/>
      <c r="X2" s="100"/>
      <c r="AA2" s="1" t="s">
        <v>11</v>
      </c>
    </row>
    <row r="3" spans="1:27" ht="13.5" customHeight="1">
      <c r="M3" s="5"/>
      <c r="N3" s="6"/>
      <c r="O3" s="6"/>
      <c r="P3" s="7"/>
      <c r="Q3" s="5"/>
      <c r="R3" s="6"/>
      <c r="S3" s="6"/>
      <c r="T3" s="7"/>
      <c r="U3" s="101"/>
      <c r="V3" s="102"/>
      <c r="W3" s="102"/>
      <c r="X3" s="103"/>
    </row>
    <row r="4" spans="1:27" ht="13.5" customHeight="1">
      <c r="M4" s="5"/>
      <c r="N4" s="6"/>
      <c r="O4" s="6"/>
      <c r="P4" s="7"/>
      <c r="Q4" s="5"/>
      <c r="R4" s="6"/>
      <c r="S4" s="6"/>
      <c r="T4" s="7"/>
      <c r="U4" s="101"/>
      <c r="V4" s="102"/>
      <c r="W4" s="102"/>
      <c r="X4" s="103"/>
      <c r="Y4" s="1" t="s">
        <v>43</v>
      </c>
    </row>
    <row r="5" spans="1:27" ht="14.25" customHeight="1" thickBot="1">
      <c r="A5" s="8" t="s">
        <v>19</v>
      </c>
      <c r="M5" s="9"/>
      <c r="N5" s="10"/>
      <c r="O5" s="10"/>
      <c r="P5" s="11"/>
      <c r="Q5" s="9"/>
      <c r="R5" s="10"/>
      <c r="S5" s="10"/>
      <c r="T5" s="11"/>
      <c r="U5" s="104"/>
      <c r="V5" s="105"/>
      <c r="W5" s="105"/>
      <c r="X5" s="106"/>
    </row>
    <row r="6" spans="1:27" s="18" customFormat="1" ht="13.5" thickBot="1">
      <c r="A6" s="12" t="s">
        <v>20</v>
      </c>
      <c r="B6" s="13"/>
      <c r="C6" s="14" t="s">
        <v>17</v>
      </c>
      <c r="D6" s="15"/>
      <c r="E6" s="16" t="s">
        <v>18</v>
      </c>
      <c r="F6" s="16"/>
      <c r="G6" s="16"/>
      <c r="H6" s="16"/>
      <c r="I6" s="16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7"/>
    </row>
    <row r="7" spans="1:27" ht="46.5" customHeight="1" thickBot="1">
      <c r="A7" s="19"/>
      <c r="B7" s="20" t="s">
        <v>21</v>
      </c>
      <c r="C7" s="20"/>
      <c r="D7" s="21" t="s">
        <v>22</v>
      </c>
      <c r="E7" s="22" t="str">
        <f>IF(E53="","",$C$62 &amp; $C$61 &amp; $C$60 &amp; E53 &amp; TEXT(E59,"0000" ))</f>
        <v>TCN000UTN0001</v>
      </c>
      <c r="F7" s="23" t="str">
        <f t="shared" ref="F7:X7" si="0">IF(F53="","",$C$62 &amp; $C$61 &amp; $C$60 &amp; F53 &amp; TEXT(F59,"0000" ))</f>
        <v>TCN000UTN0002</v>
      </c>
      <c r="G7" s="23" t="str">
        <f t="shared" si="0"/>
        <v>TCN000UTN0003</v>
      </c>
      <c r="H7" s="23" t="str">
        <f t="shared" si="0"/>
        <v>TCN000UTN0004</v>
      </c>
      <c r="I7" s="23" t="str">
        <f t="shared" si="0"/>
        <v>TCN000UTN0005</v>
      </c>
      <c r="J7" s="23" t="str">
        <f t="shared" si="0"/>
        <v>TCN000UTN0006</v>
      </c>
      <c r="K7" s="23" t="str">
        <f t="shared" si="0"/>
        <v>TCN000UTN0007</v>
      </c>
      <c r="L7" s="23" t="str">
        <f t="shared" si="0"/>
        <v>TCN000UTN0008</v>
      </c>
      <c r="M7" s="23" t="str">
        <f t="shared" si="0"/>
        <v>TCN000UTN0009</v>
      </c>
      <c r="N7" s="23" t="str">
        <f t="shared" si="0"/>
        <v>TCN000UTN0010</v>
      </c>
      <c r="O7" s="23" t="str">
        <f t="shared" si="0"/>
        <v>TCN000UTN0011</v>
      </c>
      <c r="P7" s="23" t="str">
        <f t="shared" si="0"/>
        <v>TCN000UTN0012</v>
      </c>
      <c r="Q7" s="23" t="str">
        <f t="shared" si="0"/>
        <v>TCN000UTN0013</v>
      </c>
      <c r="R7" s="23" t="str">
        <f t="shared" si="0"/>
        <v>TCN000UTN0014</v>
      </c>
      <c r="S7" s="23" t="str">
        <f t="shared" si="0"/>
        <v>TCN000UTN0015</v>
      </c>
      <c r="T7" s="23" t="str">
        <f t="shared" si="0"/>
        <v>TCN000UTN0016</v>
      </c>
      <c r="U7" s="23" t="str">
        <f t="shared" si="0"/>
        <v>TCN000UTN0017</v>
      </c>
      <c r="V7" s="23" t="str">
        <f t="shared" si="0"/>
        <v>TCN000UTN0018</v>
      </c>
      <c r="W7" s="23" t="str">
        <f t="shared" si="0"/>
        <v>TCN000UTN0019</v>
      </c>
      <c r="X7" s="24" t="str">
        <f t="shared" si="0"/>
        <v>TCN000UTN0020</v>
      </c>
    </row>
    <row r="8" spans="1:27" s="6" customFormat="1" ht="11.25" customHeight="1">
      <c r="A8" s="107" t="s">
        <v>23</v>
      </c>
      <c r="B8" s="25" t="s">
        <v>69</v>
      </c>
      <c r="C8" s="26"/>
      <c r="D8" s="27"/>
      <c r="E8" s="28" t="s">
        <v>42</v>
      </c>
      <c r="F8" s="29" t="s">
        <v>42</v>
      </c>
      <c r="G8" s="29" t="s">
        <v>42</v>
      </c>
      <c r="H8" s="29" t="s">
        <v>42</v>
      </c>
      <c r="I8" s="29" t="s">
        <v>42</v>
      </c>
      <c r="J8" s="29" t="s">
        <v>42</v>
      </c>
      <c r="K8" s="29" t="s">
        <v>42</v>
      </c>
      <c r="L8" s="29" t="s">
        <v>42</v>
      </c>
      <c r="M8" s="29" t="s">
        <v>42</v>
      </c>
      <c r="N8" s="29" t="s">
        <v>42</v>
      </c>
      <c r="O8" s="29" t="s">
        <v>42</v>
      </c>
      <c r="P8" s="29" t="s">
        <v>42</v>
      </c>
      <c r="Q8" s="29" t="s">
        <v>42</v>
      </c>
      <c r="R8" s="29" t="s">
        <v>42</v>
      </c>
      <c r="S8" s="29" t="s">
        <v>42</v>
      </c>
      <c r="T8" s="29" t="s">
        <v>42</v>
      </c>
      <c r="U8" s="29" t="s">
        <v>42</v>
      </c>
      <c r="V8" s="29" t="s">
        <v>42</v>
      </c>
      <c r="W8" s="29" t="s">
        <v>42</v>
      </c>
      <c r="X8" s="29" t="s">
        <v>42</v>
      </c>
    </row>
    <row r="9" spans="1:27" ht="11.25" customHeight="1">
      <c r="A9" s="108"/>
      <c r="B9" s="30" t="s">
        <v>52</v>
      </c>
      <c r="C9" s="31"/>
      <c r="D9" s="32"/>
      <c r="E9" s="88"/>
      <c r="F9" s="88"/>
      <c r="G9" s="33"/>
      <c r="H9" s="88"/>
      <c r="I9" s="88"/>
      <c r="J9" s="33"/>
      <c r="K9" s="88"/>
      <c r="L9" s="33"/>
      <c r="M9" s="33"/>
      <c r="N9" s="33"/>
      <c r="O9" s="33"/>
      <c r="P9" s="88"/>
      <c r="Q9" s="33"/>
      <c r="R9" s="33"/>
      <c r="S9" s="33"/>
      <c r="T9" s="33"/>
      <c r="U9" s="33"/>
      <c r="V9" s="33"/>
      <c r="W9" s="33"/>
      <c r="X9" s="34"/>
    </row>
    <row r="10" spans="1:27" ht="11.25" customHeight="1">
      <c r="A10" s="108"/>
      <c r="B10" s="30" t="s">
        <v>53</v>
      </c>
      <c r="C10" s="31"/>
      <c r="D10" s="32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33"/>
      <c r="Q10" s="88"/>
      <c r="R10" s="33"/>
      <c r="S10" s="33"/>
      <c r="T10" s="33"/>
      <c r="U10" s="33"/>
      <c r="V10" s="88"/>
      <c r="W10" s="33"/>
      <c r="X10" s="34"/>
    </row>
    <row r="11" spans="1:27" ht="11.25" customHeight="1">
      <c r="A11" s="108"/>
      <c r="B11" s="30" t="s">
        <v>54</v>
      </c>
      <c r="C11" s="31"/>
      <c r="D11" s="32"/>
      <c r="E11" s="88"/>
      <c r="F11" s="88"/>
      <c r="G11" s="33"/>
      <c r="H11" s="88"/>
      <c r="I11" s="88"/>
      <c r="J11" s="88"/>
      <c r="K11" s="88"/>
      <c r="L11" s="88"/>
      <c r="M11" s="88"/>
      <c r="N11" s="88"/>
      <c r="O11" s="88"/>
      <c r="P11" s="33"/>
      <c r="Q11" s="90"/>
      <c r="R11" s="33"/>
      <c r="S11" s="33"/>
      <c r="T11" s="33"/>
      <c r="U11" s="33"/>
      <c r="V11" s="33"/>
      <c r="W11" s="33"/>
      <c r="X11" s="34"/>
    </row>
    <row r="12" spans="1:27" ht="11.25" customHeight="1">
      <c r="A12" s="108"/>
      <c r="B12" s="30" t="s">
        <v>55</v>
      </c>
      <c r="C12" s="31"/>
      <c r="D12" s="32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33"/>
      <c r="Q12" s="90"/>
      <c r="R12" s="33"/>
      <c r="S12" s="33"/>
      <c r="T12" s="33"/>
      <c r="U12" s="33"/>
      <c r="V12" s="88"/>
      <c r="W12" s="33"/>
      <c r="X12" s="34"/>
    </row>
    <row r="13" spans="1:27" ht="11.25" customHeight="1">
      <c r="A13" s="108"/>
      <c r="B13" s="30" t="s">
        <v>66</v>
      </c>
      <c r="C13" s="31"/>
      <c r="D13" s="32"/>
      <c r="E13" s="89"/>
      <c r="F13" s="88"/>
      <c r="G13" s="33"/>
      <c r="H13" s="88"/>
      <c r="I13" s="88"/>
      <c r="J13" s="88"/>
      <c r="K13" s="88"/>
      <c r="L13" s="88"/>
      <c r="M13" s="88" t="s">
        <v>64</v>
      </c>
      <c r="N13" s="88" t="s">
        <v>64</v>
      </c>
      <c r="O13" s="88" t="s">
        <v>64</v>
      </c>
      <c r="P13" s="88" t="s">
        <v>64</v>
      </c>
      <c r="Q13" s="88" t="s">
        <v>64</v>
      </c>
      <c r="R13" s="88" t="s">
        <v>64</v>
      </c>
      <c r="S13" s="88" t="s">
        <v>64</v>
      </c>
      <c r="T13" s="88" t="s">
        <v>64</v>
      </c>
      <c r="U13" s="88" t="s">
        <v>64</v>
      </c>
      <c r="V13" s="88" t="s">
        <v>64</v>
      </c>
      <c r="W13" s="88" t="s">
        <v>64</v>
      </c>
      <c r="X13" s="34"/>
    </row>
    <row r="14" spans="1:27" ht="11.25" customHeight="1">
      <c r="A14" s="108"/>
      <c r="B14" s="30" t="s">
        <v>56</v>
      </c>
      <c r="C14" s="31"/>
      <c r="D14" s="32"/>
      <c r="E14" s="88" t="s">
        <v>64</v>
      </c>
      <c r="F14" s="88" t="s">
        <v>64</v>
      </c>
      <c r="G14" s="88" t="s">
        <v>64</v>
      </c>
      <c r="H14" s="88" t="s">
        <v>64</v>
      </c>
      <c r="I14" s="88" t="s">
        <v>64</v>
      </c>
      <c r="J14" s="88" t="s">
        <v>64</v>
      </c>
      <c r="K14" s="88" t="s">
        <v>64</v>
      </c>
      <c r="L14" s="88" t="s">
        <v>64</v>
      </c>
      <c r="M14" s="88"/>
      <c r="N14" s="88"/>
      <c r="O14" s="88" t="s">
        <v>64</v>
      </c>
      <c r="P14" s="88" t="s">
        <v>64</v>
      </c>
      <c r="Q14" s="88"/>
      <c r="R14" s="88"/>
      <c r="S14" s="88"/>
      <c r="T14" s="88" t="s">
        <v>64</v>
      </c>
      <c r="U14" s="88" t="s">
        <v>64</v>
      </c>
      <c r="V14" s="88" t="s">
        <v>64</v>
      </c>
      <c r="W14" s="88" t="s">
        <v>64</v>
      </c>
      <c r="X14" s="88" t="s">
        <v>64</v>
      </c>
    </row>
    <row r="15" spans="1:27" ht="11.25" customHeight="1">
      <c r="A15" s="108"/>
      <c r="B15" s="30" t="s">
        <v>57</v>
      </c>
      <c r="C15" s="31"/>
      <c r="D15" s="32"/>
      <c r="E15" s="88" t="s">
        <v>64</v>
      </c>
      <c r="F15" s="88" t="s">
        <v>64</v>
      </c>
      <c r="G15" s="88" t="s">
        <v>64</v>
      </c>
      <c r="H15" s="88" t="s">
        <v>64</v>
      </c>
      <c r="I15" s="88" t="s">
        <v>64</v>
      </c>
      <c r="J15" s="88" t="s">
        <v>64</v>
      </c>
      <c r="K15" s="88" t="s">
        <v>64</v>
      </c>
      <c r="L15" s="88" t="s">
        <v>64</v>
      </c>
      <c r="M15" s="88"/>
      <c r="N15" s="88"/>
      <c r="O15" s="88" t="s">
        <v>64</v>
      </c>
      <c r="P15" s="88" t="s">
        <v>64</v>
      </c>
      <c r="Q15" s="88"/>
      <c r="R15" s="88"/>
      <c r="S15" s="88"/>
      <c r="T15" s="88" t="s">
        <v>64</v>
      </c>
      <c r="U15" s="88" t="s">
        <v>64</v>
      </c>
      <c r="V15" s="88" t="s">
        <v>64</v>
      </c>
      <c r="W15" s="88" t="s">
        <v>64</v>
      </c>
      <c r="X15" s="88" t="s">
        <v>64</v>
      </c>
    </row>
    <row r="16" spans="1:27" ht="11.25" customHeight="1">
      <c r="A16" s="108"/>
      <c r="B16" s="30" t="s">
        <v>58</v>
      </c>
      <c r="C16" s="31"/>
      <c r="D16" s="32"/>
      <c r="E16" s="88"/>
      <c r="F16" s="88"/>
      <c r="G16" s="33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33"/>
      <c r="W16" s="33"/>
      <c r="X16" s="34"/>
    </row>
    <row r="17" spans="1:24" ht="11.25" customHeight="1">
      <c r="A17" s="108"/>
      <c r="B17" s="30" t="s">
        <v>59</v>
      </c>
      <c r="C17" s="31"/>
      <c r="D17" s="32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33"/>
      <c r="W17" s="33"/>
      <c r="X17" s="34"/>
    </row>
    <row r="18" spans="1:24" ht="11.25" customHeight="1">
      <c r="A18" s="108"/>
      <c r="B18" s="30" t="s">
        <v>60</v>
      </c>
      <c r="C18" s="31"/>
      <c r="D18" s="32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33"/>
      <c r="W18" s="33"/>
      <c r="X18" s="34"/>
    </row>
    <row r="19" spans="1:24" ht="11.25" customHeight="1">
      <c r="A19" s="108"/>
      <c r="B19" s="30" t="s">
        <v>81</v>
      </c>
      <c r="C19" s="31"/>
      <c r="D19" s="32"/>
      <c r="E19" s="89"/>
      <c r="F19" s="88"/>
      <c r="G19" s="88"/>
      <c r="H19" s="88"/>
      <c r="I19" s="88"/>
      <c r="J19" s="33"/>
      <c r="K19" s="33"/>
      <c r="L19" s="33"/>
      <c r="M19" s="33"/>
      <c r="N19" s="33"/>
      <c r="O19" s="33"/>
      <c r="P19" s="33"/>
      <c r="Q19" s="88" t="s">
        <v>64</v>
      </c>
      <c r="R19" s="88" t="s">
        <v>64</v>
      </c>
      <c r="S19" s="88" t="s">
        <v>64</v>
      </c>
      <c r="T19" s="88" t="s">
        <v>64</v>
      </c>
      <c r="U19" s="88" t="s">
        <v>64</v>
      </c>
      <c r="V19" s="33"/>
      <c r="W19" s="33"/>
      <c r="X19" s="34"/>
    </row>
    <row r="20" spans="1:24" ht="11.25" customHeight="1">
      <c r="A20" s="108"/>
      <c r="B20" s="30" t="s">
        <v>61</v>
      </c>
      <c r="C20" s="31"/>
      <c r="D20" s="32"/>
      <c r="E20" s="89"/>
      <c r="F20" s="88"/>
      <c r="G20" s="88"/>
      <c r="H20" s="88"/>
      <c r="I20" s="88"/>
      <c r="J20" s="33"/>
      <c r="K20" s="33"/>
      <c r="L20" s="33"/>
      <c r="M20" s="33"/>
      <c r="N20" s="33"/>
      <c r="O20" s="33"/>
      <c r="P20" s="88"/>
      <c r="Q20" s="33"/>
      <c r="R20" s="33"/>
      <c r="S20" s="33"/>
      <c r="T20" s="33"/>
      <c r="U20" s="33"/>
      <c r="V20" s="33"/>
      <c r="W20" s="33"/>
      <c r="X20" s="34"/>
    </row>
    <row r="21" spans="1:24" ht="11.25" customHeight="1">
      <c r="A21" s="108"/>
      <c r="B21" s="30" t="s">
        <v>62</v>
      </c>
      <c r="C21" s="31"/>
      <c r="D21" s="32"/>
      <c r="E21" s="89"/>
      <c r="F21" s="88"/>
      <c r="G21" s="88"/>
      <c r="H21" s="88"/>
      <c r="I21" s="88"/>
      <c r="J21" s="33"/>
      <c r="K21" s="33"/>
      <c r="L21" s="33"/>
      <c r="M21" s="33"/>
      <c r="N21" s="33"/>
      <c r="O21" s="33"/>
      <c r="P21" s="90"/>
      <c r="Q21" s="88"/>
      <c r="R21" s="33"/>
      <c r="S21" s="33"/>
      <c r="T21" s="33"/>
      <c r="U21" s="33"/>
      <c r="V21" s="33"/>
      <c r="W21" s="33"/>
      <c r="X21" s="34"/>
    </row>
    <row r="22" spans="1:24" ht="11.25" customHeight="1">
      <c r="A22" s="108"/>
      <c r="B22" s="30" t="s">
        <v>51</v>
      </c>
      <c r="C22" s="31"/>
      <c r="D22" s="32"/>
      <c r="E22" s="89"/>
      <c r="F22" s="88"/>
      <c r="G22" s="88"/>
      <c r="H22" s="88"/>
      <c r="I22" s="88"/>
      <c r="J22" s="33"/>
      <c r="K22" s="33"/>
      <c r="L22" s="33"/>
      <c r="M22" s="33"/>
      <c r="N22" s="33"/>
      <c r="O22" s="33"/>
      <c r="P22" s="90"/>
      <c r="Q22" s="33"/>
      <c r="R22" s="88"/>
      <c r="S22" s="33"/>
      <c r="T22" s="33"/>
      <c r="U22" s="33"/>
      <c r="V22" s="33"/>
      <c r="W22" s="33"/>
      <c r="X22" s="34"/>
    </row>
    <row r="23" spans="1:24" ht="11.25" customHeight="1">
      <c r="A23" s="108"/>
      <c r="B23" s="30" t="s">
        <v>44</v>
      </c>
      <c r="C23" s="31"/>
      <c r="D23" s="32"/>
      <c r="E23" s="89"/>
      <c r="F23" s="88"/>
      <c r="G23" s="88"/>
      <c r="H23" s="88"/>
      <c r="I23" s="88"/>
      <c r="J23" s="33"/>
      <c r="K23" s="33"/>
      <c r="L23" s="33"/>
      <c r="M23" s="33"/>
      <c r="N23" s="33"/>
      <c r="O23" s="33"/>
      <c r="P23" s="90"/>
      <c r="Q23" s="33"/>
      <c r="R23" s="33"/>
      <c r="S23" s="88"/>
      <c r="T23" s="33"/>
      <c r="U23" s="33"/>
      <c r="V23" s="33"/>
      <c r="W23" s="33"/>
      <c r="X23" s="34"/>
    </row>
    <row r="24" spans="1:24" ht="11.25" customHeight="1">
      <c r="A24" s="108"/>
      <c r="B24" s="30" t="s">
        <v>45</v>
      </c>
      <c r="C24" s="31"/>
      <c r="D24" s="32"/>
      <c r="E24" s="89"/>
      <c r="F24" s="88"/>
      <c r="G24" s="88"/>
      <c r="H24" s="88"/>
      <c r="I24" s="88"/>
      <c r="J24" s="33"/>
      <c r="K24" s="33"/>
      <c r="L24" s="33"/>
      <c r="M24" s="33"/>
      <c r="N24" s="33"/>
      <c r="O24" s="33"/>
      <c r="P24" s="90"/>
      <c r="Q24" s="33"/>
      <c r="R24" s="33"/>
      <c r="S24" s="33"/>
      <c r="T24" s="88"/>
      <c r="U24" s="33"/>
      <c r="V24" s="33"/>
      <c r="W24" s="33"/>
      <c r="X24" s="34"/>
    </row>
    <row r="25" spans="1:24" ht="11.25" customHeight="1">
      <c r="A25" s="108"/>
      <c r="B25" s="30" t="s">
        <v>46</v>
      </c>
      <c r="C25" s="31"/>
      <c r="D25" s="32"/>
      <c r="E25" s="89"/>
      <c r="F25" s="88"/>
      <c r="G25" s="88"/>
      <c r="H25" s="88"/>
      <c r="I25" s="88"/>
      <c r="J25" s="33"/>
      <c r="K25" s="33"/>
      <c r="L25" s="33"/>
      <c r="M25" s="33"/>
      <c r="N25" s="33"/>
      <c r="O25" s="33"/>
      <c r="P25" s="90"/>
      <c r="Q25" s="33"/>
      <c r="R25" s="33"/>
      <c r="S25" s="33"/>
      <c r="T25" s="33"/>
      <c r="U25" s="88"/>
      <c r="V25" s="33"/>
      <c r="W25" s="33"/>
      <c r="X25" s="34"/>
    </row>
    <row r="26" spans="1:24" ht="11.25" customHeight="1">
      <c r="A26" s="108"/>
      <c r="B26" s="30" t="s">
        <v>47</v>
      </c>
      <c r="C26" s="31"/>
      <c r="D26" s="32"/>
      <c r="E26" s="89"/>
      <c r="F26" s="88"/>
      <c r="G26" s="88"/>
      <c r="H26" s="88"/>
      <c r="I26" s="88"/>
      <c r="J26" s="33"/>
      <c r="K26" s="33"/>
      <c r="L26" s="33"/>
      <c r="M26" s="33"/>
      <c r="N26" s="33"/>
      <c r="O26" s="33"/>
      <c r="P26" s="90"/>
      <c r="Q26" s="33"/>
      <c r="R26" s="33"/>
      <c r="S26" s="33"/>
      <c r="T26" s="33"/>
      <c r="U26" s="33"/>
      <c r="V26" s="88"/>
      <c r="W26" s="33"/>
      <c r="X26" s="34"/>
    </row>
    <row r="27" spans="1:24" ht="11.25" customHeight="1">
      <c r="A27" s="108"/>
      <c r="B27" s="30" t="s">
        <v>48</v>
      </c>
      <c r="C27" s="31"/>
      <c r="D27" s="32"/>
      <c r="E27" s="89"/>
      <c r="F27" s="88"/>
      <c r="G27" s="88"/>
      <c r="H27" s="88"/>
      <c r="I27" s="88"/>
      <c r="J27" s="33"/>
      <c r="K27" s="33"/>
      <c r="L27" s="33"/>
      <c r="M27" s="33"/>
      <c r="N27" s="33"/>
      <c r="O27" s="33"/>
      <c r="P27" s="90"/>
      <c r="Q27" s="33"/>
      <c r="R27" s="33"/>
      <c r="S27" s="33"/>
      <c r="T27" s="33"/>
      <c r="U27" s="33"/>
      <c r="V27" s="33"/>
      <c r="W27" s="88"/>
      <c r="X27" s="34"/>
    </row>
    <row r="28" spans="1:24" ht="11.25" customHeight="1">
      <c r="A28" s="108"/>
      <c r="B28" s="30" t="s">
        <v>49</v>
      </c>
      <c r="C28" s="31"/>
      <c r="D28" s="32"/>
      <c r="E28" s="89"/>
      <c r="F28" s="88"/>
      <c r="G28" s="88"/>
      <c r="H28" s="88"/>
      <c r="I28" s="88"/>
      <c r="J28" s="33"/>
      <c r="K28" s="33"/>
      <c r="L28" s="33"/>
      <c r="M28" s="33"/>
      <c r="N28" s="33"/>
      <c r="O28" s="33"/>
      <c r="P28" s="90"/>
      <c r="Q28" s="33"/>
      <c r="R28" s="33"/>
      <c r="S28" s="33"/>
      <c r="T28" s="33"/>
      <c r="U28" s="33"/>
      <c r="V28" s="33"/>
      <c r="W28" s="33"/>
      <c r="X28" s="88"/>
    </row>
    <row r="29" spans="1:24" ht="11.25" customHeight="1">
      <c r="A29" s="108"/>
      <c r="B29" s="30"/>
      <c r="C29" s="31"/>
      <c r="D29" s="32"/>
      <c r="E29" s="89"/>
      <c r="F29" s="88"/>
      <c r="G29" s="88"/>
      <c r="H29" s="88"/>
      <c r="I29" s="88"/>
      <c r="J29" s="33"/>
      <c r="K29" s="33"/>
      <c r="L29" s="88"/>
      <c r="M29" s="33"/>
      <c r="N29" s="33"/>
      <c r="O29" s="88"/>
      <c r="P29" s="90"/>
      <c r="Q29" s="33"/>
      <c r="R29" s="33"/>
      <c r="S29" s="33"/>
      <c r="T29" s="33"/>
      <c r="U29" s="33"/>
      <c r="V29" s="33"/>
      <c r="W29" s="33"/>
      <c r="X29" s="34"/>
    </row>
    <row r="30" spans="1:24" ht="11.25" customHeight="1" thickBot="1">
      <c r="A30" s="109"/>
      <c r="B30" s="35"/>
      <c r="C30" s="36"/>
      <c r="D30" s="37"/>
      <c r="E30" s="91"/>
      <c r="F30" s="92"/>
      <c r="G30" s="92"/>
      <c r="H30" s="92"/>
      <c r="I30" s="92"/>
      <c r="J30" s="92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4"/>
    </row>
    <row r="31" spans="1:24" ht="11.25" customHeight="1">
      <c r="A31" s="107" t="s">
        <v>24</v>
      </c>
      <c r="B31" s="25" t="s">
        <v>141</v>
      </c>
      <c r="C31" s="26"/>
      <c r="D31" s="27"/>
      <c r="E31" s="88" t="s">
        <v>64</v>
      </c>
      <c r="F31" s="88"/>
      <c r="G31" s="88"/>
      <c r="H31" s="88"/>
      <c r="I31" s="88"/>
      <c r="J31" s="88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4"/>
    </row>
    <row r="32" spans="1:24" ht="11.25" customHeight="1">
      <c r="A32" s="108"/>
      <c r="B32" s="30" t="s">
        <v>102</v>
      </c>
      <c r="C32" s="31"/>
      <c r="D32" s="32"/>
      <c r="E32" s="89"/>
      <c r="F32" s="88" t="s">
        <v>64</v>
      </c>
      <c r="G32" s="88"/>
      <c r="H32" s="88"/>
      <c r="I32" s="88"/>
      <c r="J32" s="33"/>
      <c r="K32" s="33"/>
      <c r="L32" s="33"/>
      <c r="M32" s="33"/>
      <c r="N32" s="33"/>
      <c r="O32" s="33"/>
      <c r="P32" s="90"/>
      <c r="Q32" s="33"/>
      <c r="R32" s="33"/>
      <c r="S32" s="33"/>
      <c r="T32" s="33"/>
      <c r="U32" s="33"/>
      <c r="V32" s="33"/>
      <c r="W32" s="33"/>
      <c r="X32" s="34"/>
    </row>
    <row r="33" spans="1:24" ht="11.25" customHeight="1">
      <c r="A33" s="108"/>
      <c r="B33" s="30" t="s">
        <v>103</v>
      </c>
      <c r="C33" s="31"/>
      <c r="D33" s="32"/>
      <c r="E33" s="89"/>
      <c r="F33" s="88"/>
      <c r="G33" s="88" t="s">
        <v>64</v>
      </c>
      <c r="H33" s="88"/>
      <c r="I33" s="88"/>
      <c r="J33" s="33"/>
      <c r="K33" s="33"/>
      <c r="L33" s="33"/>
      <c r="M33" s="33"/>
      <c r="N33" s="33"/>
      <c r="O33" s="33"/>
      <c r="P33" s="90"/>
      <c r="Q33" s="33"/>
      <c r="R33" s="33"/>
      <c r="S33" s="33"/>
      <c r="T33" s="33"/>
      <c r="U33" s="33"/>
      <c r="V33" s="33"/>
      <c r="W33" s="33"/>
      <c r="X33" s="34"/>
    </row>
    <row r="34" spans="1:24" ht="11.25" customHeight="1">
      <c r="A34" s="108"/>
      <c r="B34" s="30" t="s">
        <v>104</v>
      </c>
      <c r="C34" s="31"/>
      <c r="D34" s="32"/>
      <c r="E34" s="89"/>
      <c r="F34" s="88"/>
      <c r="G34" s="88"/>
      <c r="H34" s="88" t="s">
        <v>64</v>
      </c>
      <c r="I34" s="88"/>
      <c r="J34" s="33"/>
      <c r="K34" s="33"/>
      <c r="L34" s="33"/>
      <c r="M34" s="33"/>
      <c r="N34" s="33"/>
      <c r="O34" s="33"/>
      <c r="P34" s="90"/>
      <c r="Q34" s="33"/>
      <c r="R34" s="33"/>
      <c r="S34" s="33"/>
      <c r="T34" s="33"/>
      <c r="U34" s="33"/>
      <c r="V34" s="33"/>
      <c r="W34" s="33"/>
      <c r="X34" s="34"/>
    </row>
    <row r="35" spans="1:24" ht="11.25" customHeight="1">
      <c r="A35" s="108"/>
      <c r="B35" s="30" t="s">
        <v>105</v>
      </c>
      <c r="C35" s="31"/>
      <c r="D35" s="32"/>
      <c r="E35" s="89"/>
      <c r="F35" s="88"/>
      <c r="G35" s="88"/>
      <c r="H35" s="88"/>
      <c r="I35" s="88" t="s">
        <v>64</v>
      </c>
      <c r="J35" s="33"/>
      <c r="K35" s="33"/>
      <c r="L35" s="33"/>
      <c r="M35" s="33"/>
      <c r="N35" s="33"/>
      <c r="O35" s="33"/>
      <c r="P35" s="90"/>
      <c r="Q35" s="33"/>
      <c r="R35" s="33"/>
      <c r="S35" s="33"/>
      <c r="T35" s="33"/>
      <c r="U35" s="33"/>
      <c r="V35" s="33"/>
      <c r="W35" s="33"/>
      <c r="X35" s="34"/>
    </row>
    <row r="36" spans="1:24" ht="11.25" customHeight="1">
      <c r="A36" s="108"/>
      <c r="B36" s="30" t="s">
        <v>113</v>
      </c>
      <c r="C36" s="31"/>
      <c r="D36" s="32"/>
      <c r="E36" s="89"/>
      <c r="F36" s="88"/>
      <c r="G36" s="88"/>
      <c r="H36" s="88"/>
      <c r="I36" s="88"/>
      <c r="J36" s="88" t="s">
        <v>64</v>
      </c>
      <c r="K36" s="33"/>
      <c r="L36" s="33"/>
      <c r="M36" s="33"/>
      <c r="N36" s="33"/>
      <c r="O36" s="33"/>
      <c r="P36" s="90"/>
      <c r="Q36" s="33"/>
      <c r="R36" s="33"/>
      <c r="S36" s="33"/>
      <c r="T36" s="33"/>
      <c r="U36" s="33"/>
      <c r="V36" s="33"/>
      <c r="W36" s="33"/>
      <c r="X36" s="34"/>
    </row>
    <row r="37" spans="1:24" ht="11.25" customHeight="1">
      <c r="A37" s="108"/>
      <c r="B37" s="30" t="s">
        <v>106</v>
      </c>
      <c r="C37" s="31"/>
      <c r="D37" s="32"/>
      <c r="E37" s="89"/>
      <c r="F37" s="88"/>
      <c r="G37" s="88"/>
      <c r="H37" s="88"/>
      <c r="I37" s="88"/>
      <c r="J37" s="33"/>
      <c r="K37" s="88" t="s">
        <v>64</v>
      </c>
      <c r="L37" s="33"/>
      <c r="M37" s="33"/>
      <c r="N37" s="33"/>
      <c r="O37" s="33"/>
      <c r="P37" s="90"/>
      <c r="Q37" s="33"/>
      <c r="R37" s="33"/>
      <c r="S37" s="33"/>
      <c r="T37" s="33"/>
      <c r="U37" s="33"/>
      <c r="V37" s="33"/>
      <c r="W37" s="33"/>
      <c r="X37" s="34"/>
    </row>
    <row r="38" spans="1:24" ht="11.25" customHeight="1">
      <c r="A38" s="108"/>
      <c r="B38" s="30" t="s">
        <v>114</v>
      </c>
      <c r="C38" s="31"/>
      <c r="D38" s="32"/>
      <c r="E38" s="89"/>
      <c r="F38" s="88"/>
      <c r="G38" s="88"/>
      <c r="H38" s="88"/>
      <c r="I38" s="88"/>
      <c r="J38" s="33"/>
      <c r="K38" s="33"/>
      <c r="L38" s="88" t="s">
        <v>64</v>
      </c>
      <c r="M38" s="33"/>
      <c r="N38" s="33"/>
      <c r="O38" s="33"/>
      <c r="P38" s="90"/>
      <c r="Q38" s="33"/>
      <c r="R38" s="33"/>
      <c r="S38" s="33"/>
      <c r="T38" s="33"/>
      <c r="U38" s="33"/>
      <c r="V38" s="33"/>
      <c r="W38" s="33"/>
      <c r="X38" s="34"/>
    </row>
    <row r="39" spans="1:24" ht="11.25" customHeight="1">
      <c r="A39" s="108"/>
      <c r="B39" s="30" t="s">
        <v>107</v>
      </c>
      <c r="C39" s="31"/>
      <c r="D39" s="32"/>
      <c r="E39" s="89"/>
      <c r="F39" s="88"/>
      <c r="G39" s="88"/>
      <c r="H39" s="88"/>
      <c r="I39" s="88"/>
      <c r="J39" s="33"/>
      <c r="K39" s="33"/>
      <c r="L39" s="33"/>
      <c r="M39" s="88" t="s">
        <v>64</v>
      </c>
      <c r="N39" s="88"/>
      <c r="O39" s="88"/>
      <c r="P39" s="33"/>
      <c r="Q39" s="33"/>
      <c r="R39" s="33"/>
      <c r="S39" s="33"/>
      <c r="T39" s="33"/>
      <c r="U39" s="33"/>
      <c r="V39" s="33"/>
      <c r="W39" s="33"/>
      <c r="X39" s="34"/>
    </row>
    <row r="40" spans="1:24" ht="11.25" customHeight="1">
      <c r="A40" s="108"/>
      <c r="B40" s="30" t="s">
        <v>115</v>
      </c>
      <c r="C40" s="31"/>
      <c r="D40" s="32"/>
      <c r="E40" s="89"/>
      <c r="F40" s="88"/>
      <c r="G40" s="88"/>
      <c r="H40" s="88"/>
      <c r="I40" s="88"/>
      <c r="J40" s="33"/>
      <c r="K40" s="33"/>
      <c r="L40" s="33"/>
      <c r="M40" s="88"/>
      <c r="N40" s="88" t="s">
        <v>64</v>
      </c>
      <c r="O40" s="88"/>
      <c r="P40" s="33"/>
      <c r="Q40" s="33"/>
      <c r="R40" s="33"/>
      <c r="S40" s="33"/>
      <c r="T40" s="33"/>
      <c r="U40" s="33"/>
      <c r="V40" s="33"/>
      <c r="W40" s="33"/>
      <c r="X40" s="34"/>
    </row>
    <row r="41" spans="1:24" ht="11.25" customHeight="1">
      <c r="A41" s="108"/>
      <c r="B41" s="30" t="s">
        <v>108</v>
      </c>
      <c r="C41" s="31"/>
      <c r="D41" s="32"/>
      <c r="E41" s="89"/>
      <c r="F41" s="88"/>
      <c r="G41" s="88"/>
      <c r="H41" s="88"/>
      <c r="I41" s="88"/>
      <c r="J41" s="33"/>
      <c r="K41" s="33"/>
      <c r="L41" s="33"/>
      <c r="M41" s="88"/>
      <c r="N41" s="88"/>
      <c r="O41" s="88" t="s">
        <v>64</v>
      </c>
      <c r="P41" s="33"/>
      <c r="Q41" s="33"/>
      <c r="R41" s="33"/>
      <c r="S41" s="33"/>
      <c r="T41" s="33"/>
      <c r="U41" s="33"/>
      <c r="V41" s="33"/>
      <c r="W41" s="33"/>
      <c r="X41" s="34"/>
    </row>
    <row r="42" spans="1:24" ht="11.25" customHeight="1">
      <c r="A42" s="108"/>
      <c r="B42" s="30" t="s">
        <v>116</v>
      </c>
      <c r="C42" s="31"/>
      <c r="D42" s="32"/>
      <c r="E42" s="89"/>
      <c r="F42" s="88"/>
      <c r="G42" s="88"/>
      <c r="H42" s="88"/>
      <c r="I42" s="88"/>
      <c r="J42" s="33"/>
      <c r="K42" s="33"/>
      <c r="L42" s="33"/>
      <c r="M42" s="88"/>
      <c r="N42" s="88"/>
      <c r="O42" s="88"/>
      <c r="P42" s="88" t="s">
        <v>64</v>
      </c>
      <c r="Q42" s="33"/>
      <c r="R42" s="33"/>
      <c r="S42" s="33"/>
      <c r="T42" s="33"/>
      <c r="U42" s="33"/>
      <c r="V42" s="33"/>
      <c r="W42" s="33"/>
      <c r="X42" s="34"/>
    </row>
    <row r="43" spans="1:24" ht="11.25" customHeight="1">
      <c r="A43" s="108"/>
      <c r="B43" s="30" t="s">
        <v>109</v>
      </c>
      <c r="C43" s="31"/>
      <c r="D43" s="32"/>
      <c r="E43" s="89"/>
      <c r="F43" s="88"/>
      <c r="G43" s="88"/>
      <c r="H43" s="88"/>
      <c r="I43" s="88"/>
      <c r="J43" s="33"/>
      <c r="K43" s="33"/>
      <c r="L43" s="33"/>
      <c r="M43" s="88"/>
      <c r="N43" s="88"/>
      <c r="O43" s="88"/>
      <c r="P43" s="33"/>
      <c r="Q43" s="88" t="s">
        <v>64</v>
      </c>
      <c r="R43" s="33"/>
      <c r="S43" s="33"/>
      <c r="T43" s="33"/>
      <c r="U43" s="33"/>
      <c r="V43" s="33"/>
      <c r="W43" s="33"/>
      <c r="X43" s="34"/>
    </row>
    <row r="44" spans="1:24" ht="11.25" customHeight="1">
      <c r="A44" s="108"/>
      <c r="B44" s="30" t="s">
        <v>117</v>
      </c>
      <c r="C44" s="31"/>
      <c r="D44" s="32"/>
      <c r="E44" s="89"/>
      <c r="F44" s="88"/>
      <c r="G44" s="88"/>
      <c r="H44" s="88"/>
      <c r="I44" s="88"/>
      <c r="J44" s="33"/>
      <c r="K44" s="33"/>
      <c r="L44" s="33"/>
      <c r="M44" s="88"/>
      <c r="N44" s="88"/>
      <c r="O44" s="88"/>
      <c r="P44" s="33"/>
      <c r="Q44" s="33"/>
      <c r="R44" s="88" t="s">
        <v>64</v>
      </c>
      <c r="S44" s="33"/>
      <c r="T44" s="33"/>
      <c r="U44" s="33"/>
      <c r="V44" s="33"/>
      <c r="W44" s="33"/>
      <c r="X44" s="34"/>
    </row>
    <row r="45" spans="1:24" ht="11.25" customHeight="1">
      <c r="A45" s="108"/>
      <c r="B45" s="30" t="s">
        <v>110</v>
      </c>
      <c r="C45" s="31"/>
      <c r="D45" s="32"/>
      <c r="E45" s="89"/>
      <c r="F45" s="88"/>
      <c r="G45" s="88"/>
      <c r="H45" s="88"/>
      <c r="I45" s="88"/>
      <c r="J45" s="33"/>
      <c r="K45" s="33"/>
      <c r="L45" s="33"/>
      <c r="M45" s="33"/>
      <c r="N45" s="33"/>
      <c r="O45" s="33"/>
      <c r="P45" s="90"/>
      <c r="Q45" s="33"/>
      <c r="R45" s="33"/>
      <c r="S45" s="88" t="s">
        <v>64</v>
      </c>
      <c r="T45" s="88"/>
      <c r="U45" s="88"/>
      <c r="V45" s="33"/>
      <c r="W45" s="33"/>
      <c r="X45" s="33"/>
    </row>
    <row r="46" spans="1:24" ht="11.25" customHeight="1">
      <c r="A46" s="108"/>
      <c r="B46" s="30" t="s">
        <v>118</v>
      </c>
      <c r="C46" s="31"/>
      <c r="D46" s="32"/>
      <c r="E46" s="89"/>
      <c r="F46" s="88"/>
      <c r="G46" s="88"/>
      <c r="H46" s="88"/>
      <c r="I46" s="88"/>
      <c r="J46" s="33"/>
      <c r="K46" s="33"/>
      <c r="L46" s="33"/>
      <c r="M46" s="33"/>
      <c r="N46" s="33"/>
      <c r="O46" s="33"/>
      <c r="P46" s="90"/>
      <c r="Q46" s="33"/>
      <c r="R46" s="33"/>
      <c r="S46" s="88"/>
      <c r="T46" s="88" t="s">
        <v>64</v>
      </c>
      <c r="U46" s="88"/>
      <c r="V46" s="33"/>
      <c r="W46" s="33"/>
      <c r="X46" s="33"/>
    </row>
    <row r="47" spans="1:24" ht="11.25" customHeight="1">
      <c r="A47" s="108"/>
      <c r="B47" s="30" t="s">
        <v>111</v>
      </c>
      <c r="C47" s="31"/>
      <c r="D47" s="32"/>
      <c r="E47" s="89"/>
      <c r="F47" s="88"/>
      <c r="G47" s="88"/>
      <c r="H47" s="88"/>
      <c r="I47" s="88"/>
      <c r="J47" s="33"/>
      <c r="K47" s="33"/>
      <c r="L47" s="33"/>
      <c r="M47" s="33"/>
      <c r="N47" s="33"/>
      <c r="O47" s="33"/>
      <c r="P47" s="90"/>
      <c r="Q47" s="33"/>
      <c r="R47" s="33"/>
      <c r="S47" s="88"/>
      <c r="T47" s="88"/>
      <c r="U47" s="88" t="s">
        <v>64</v>
      </c>
      <c r="V47" s="33"/>
      <c r="W47" s="33"/>
      <c r="X47" s="33"/>
    </row>
    <row r="48" spans="1:24" ht="11.25" customHeight="1">
      <c r="A48" s="108"/>
      <c r="B48" s="30" t="s">
        <v>119</v>
      </c>
      <c r="C48" s="31"/>
      <c r="D48" s="32"/>
      <c r="E48" s="89"/>
      <c r="F48" s="88"/>
      <c r="G48" s="88"/>
      <c r="H48" s="88"/>
      <c r="I48" s="88"/>
      <c r="J48" s="33"/>
      <c r="K48" s="33"/>
      <c r="L48" s="33"/>
      <c r="M48" s="33"/>
      <c r="N48" s="33"/>
      <c r="O48" s="33"/>
      <c r="P48" s="90"/>
      <c r="Q48" s="33"/>
      <c r="R48" s="33"/>
      <c r="S48" s="88"/>
      <c r="T48" s="88"/>
      <c r="U48" s="88"/>
      <c r="V48" s="88" t="s">
        <v>64</v>
      </c>
      <c r="W48" s="33"/>
      <c r="X48" s="33"/>
    </row>
    <row r="49" spans="1:24" ht="11.25" customHeight="1">
      <c r="A49" s="108"/>
      <c r="B49" s="30" t="s">
        <v>112</v>
      </c>
      <c r="C49" s="31"/>
      <c r="D49" s="32"/>
      <c r="E49" s="89"/>
      <c r="F49" s="88"/>
      <c r="G49" s="88"/>
      <c r="H49" s="88"/>
      <c r="I49" s="88"/>
      <c r="J49" s="33"/>
      <c r="K49" s="33"/>
      <c r="L49" s="33"/>
      <c r="M49" s="33"/>
      <c r="N49" s="33"/>
      <c r="O49" s="33"/>
      <c r="P49" s="90"/>
      <c r="Q49" s="33"/>
      <c r="R49" s="33"/>
      <c r="S49" s="88"/>
      <c r="T49" s="88"/>
      <c r="U49" s="88"/>
      <c r="V49" s="33"/>
      <c r="W49" s="88" t="s">
        <v>64</v>
      </c>
      <c r="X49" s="33"/>
    </row>
    <row r="50" spans="1:24" ht="11.25" customHeight="1">
      <c r="A50" s="108"/>
      <c r="B50" s="30" t="s">
        <v>120</v>
      </c>
      <c r="C50" s="31"/>
      <c r="D50" s="32"/>
      <c r="E50" s="89"/>
      <c r="F50" s="88"/>
      <c r="G50" s="88"/>
      <c r="H50" s="88"/>
      <c r="I50" s="88"/>
      <c r="J50" s="33"/>
      <c r="K50" s="33"/>
      <c r="L50" s="33"/>
      <c r="M50" s="33"/>
      <c r="N50" s="33"/>
      <c r="O50" s="33"/>
      <c r="P50" s="90"/>
      <c r="Q50" s="33"/>
      <c r="R50" s="33"/>
      <c r="S50" s="88"/>
      <c r="T50" s="88"/>
      <c r="U50" s="88"/>
      <c r="V50" s="33"/>
      <c r="W50" s="33"/>
      <c r="X50" s="88" t="s">
        <v>64</v>
      </c>
    </row>
    <row r="51" spans="1:24" ht="11.25" customHeight="1" thickBot="1">
      <c r="A51" s="109"/>
      <c r="B51" s="30"/>
      <c r="C51" s="36"/>
      <c r="D51" s="37"/>
      <c r="E51" s="39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96"/>
    </row>
    <row r="52" spans="1:24" ht="26.25" customHeight="1">
      <c r="A52" s="40"/>
      <c r="B52" s="41" t="s">
        <v>25</v>
      </c>
      <c r="C52" s="42"/>
      <c r="D52" s="86" t="s">
        <v>31</v>
      </c>
      <c r="E52" s="43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5"/>
    </row>
    <row r="53" spans="1:24" ht="25.5">
      <c r="A53" s="46"/>
      <c r="B53" s="47" t="s">
        <v>26</v>
      </c>
      <c r="C53" s="48"/>
      <c r="D53" s="85" t="s">
        <v>32</v>
      </c>
      <c r="E53" s="50" t="str">
        <f t="shared" ref="E53:X53" si="1">IF( COUNTIF(E30:E51,"○") &lt;&gt; 0, "N", IF( COUNTIF(E30:E51,"●") &lt;&gt; 0, "E", IF( COUNTIF(E30:E51,"◎") &lt;&gt; 0, "L", IF( COUNTIF(E30:E51,"☆") &lt;&gt; 0, "I", ""))) )</f>
        <v>N</v>
      </c>
      <c r="F53" s="50" t="str">
        <f t="shared" si="1"/>
        <v>N</v>
      </c>
      <c r="G53" s="50" t="str">
        <f t="shared" si="1"/>
        <v>N</v>
      </c>
      <c r="H53" s="50" t="str">
        <f t="shared" si="1"/>
        <v>N</v>
      </c>
      <c r="I53" s="50" t="str">
        <f t="shared" si="1"/>
        <v>N</v>
      </c>
      <c r="J53" s="50" t="str">
        <f t="shared" si="1"/>
        <v>N</v>
      </c>
      <c r="K53" s="50" t="str">
        <f t="shared" si="1"/>
        <v>N</v>
      </c>
      <c r="L53" s="50" t="str">
        <f t="shared" si="1"/>
        <v>N</v>
      </c>
      <c r="M53" s="50" t="str">
        <f t="shared" si="1"/>
        <v>N</v>
      </c>
      <c r="N53" s="50" t="str">
        <f t="shared" si="1"/>
        <v>N</v>
      </c>
      <c r="O53" s="50" t="str">
        <f t="shared" si="1"/>
        <v>N</v>
      </c>
      <c r="P53" s="50" t="str">
        <f t="shared" si="1"/>
        <v>N</v>
      </c>
      <c r="Q53" s="50" t="str">
        <f t="shared" si="1"/>
        <v>N</v>
      </c>
      <c r="R53" s="50" t="str">
        <f t="shared" si="1"/>
        <v>N</v>
      </c>
      <c r="S53" s="50" t="str">
        <f t="shared" si="1"/>
        <v>N</v>
      </c>
      <c r="T53" s="50" t="str">
        <f t="shared" si="1"/>
        <v>N</v>
      </c>
      <c r="U53" s="50" t="str">
        <f t="shared" si="1"/>
        <v>N</v>
      </c>
      <c r="V53" s="50" t="str">
        <f t="shared" si="1"/>
        <v>N</v>
      </c>
      <c r="W53" s="50" t="str">
        <f t="shared" si="1"/>
        <v>N</v>
      </c>
      <c r="X53" s="50" t="str">
        <f t="shared" si="1"/>
        <v>N</v>
      </c>
    </row>
    <row r="54" spans="1:24">
      <c r="A54" s="51"/>
      <c r="B54" s="52"/>
      <c r="C54" s="48"/>
      <c r="D54" s="49" t="s">
        <v>33</v>
      </c>
      <c r="E54" s="53"/>
      <c r="F54" s="54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6"/>
    </row>
    <row r="55" spans="1:24" ht="21.95" customHeight="1" thickBot="1">
      <c r="A55" s="57" t="s">
        <v>27</v>
      </c>
      <c r="B55" s="58"/>
      <c r="C55" s="59"/>
      <c r="D55" s="87" t="s">
        <v>34</v>
      </c>
      <c r="E55" s="60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2"/>
    </row>
    <row r="56" spans="1:24" ht="53.25" customHeight="1">
      <c r="A56" s="63" t="s">
        <v>28</v>
      </c>
      <c r="B56" s="64"/>
      <c r="C56" s="65" t="s">
        <v>8</v>
      </c>
      <c r="D56" s="66" t="s">
        <v>30</v>
      </c>
      <c r="E56" s="67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</row>
    <row r="57" spans="1:24" s="77" customFormat="1" ht="13.5" customHeight="1" thickBot="1">
      <c r="A57" s="70"/>
      <c r="B57" s="71"/>
      <c r="C57" s="72" t="s">
        <v>29</v>
      </c>
      <c r="D57" s="73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6"/>
    </row>
    <row r="58" spans="1:24" s="77" customFormat="1" ht="13.5" customHeight="1">
      <c r="A58" s="78"/>
      <c r="B58" s="79"/>
      <c r="C58" s="80"/>
      <c r="D58" s="79"/>
      <c r="E58" s="78"/>
      <c r="F58" s="78"/>
      <c r="G58" s="78"/>
      <c r="H58" s="78"/>
      <c r="I58" s="78"/>
      <c r="J58" s="78"/>
      <c r="K58" s="78"/>
      <c r="L58" s="81" t="s">
        <v>35</v>
      </c>
      <c r="M58" s="78"/>
      <c r="N58" s="81"/>
      <c r="O58" s="81"/>
      <c r="P58" s="78"/>
      <c r="Q58" s="78"/>
      <c r="R58" s="78"/>
      <c r="S58" s="78"/>
      <c r="T58" s="78"/>
      <c r="U58" s="78"/>
      <c r="V58" s="78"/>
      <c r="W58" s="78"/>
      <c r="X58" s="78"/>
    </row>
    <row r="59" spans="1:24" ht="15.75" customHeight="1">
      <c r="A59" s="82" t="s">
        <v>13</v>
      </c>
      <c r="B59" s="83" t="s">
        <v>12</v>
      </c>
      <c r="C59" s="83" t="s">
        <v>38</v>
      </c>
      <c r="D59" s="83" t="s">
        <v>10</v>
      </c>
      <c r="E59" s="83">
        <f>IF(E53="",0,GetNextPCLID())</f>
        <v>1</v>
      </c>
      <c r="F59" s="83">
        <f>IF(F53="",0,MAX($E59:E59)+1)</f>
        <v>2</v>
      </c>
      <c r="G59" s="83">
        <f>IF(G53="",0,MAX($E59:F59)+1)</f>
        <v>3</v>
      </c>
      <c r="H59" s="83">
        <f>IF(H53="",0,MAX($E59:G59)+1)</f>
        <v>4</v>
      </c>
      <c r="I59" s="83">
        <f>IF(I53="",0,MAX($E59:H59)+1)</f>
        <v>5</v>
      </c>
      <c r="J59" s="83">
        <f>IF(J53="",0,MAX($E59:I59)+1)</f>
        <v>6</v>
      </c>
      <c r="K59" s="83">
        <f>IF(K53="",0,MAX($E59:J59)+1)</f>
        <v>7</v>
      </c>
      <c r="L59" s="83">
        <f>IF(L53="",0,MAX($E59:K59)+1)</f>
        <v>8</v>
      </c>
      <c r="M59" s="83">
        <f>IF(M53="",0,MAX($E59:L59)+1)</f>
        <v>9</v>
      </c>
      <c r="N59" s="83">
        <f>IF(N53="",0,MAX($E59:M59)+1)</f>
        <v>10</v>
      </c>
      <c r="O59" s="83">
        <f>IF(O53="",0,MAX($E59:N59)+1)</f>
        <v>11</v>
      </c>
      <c r="P59" s="83">
        <f>IF(P53="",0,MAX($E59:O59)+1)</f>
        <v>12</v>
      </c>
      <c r="Q59" s="83">
        <f>IF(Q53="",0,MAX($E59:P59)+1)</f>
        <v>13</v>
      </c>
      <c r="R59" s="83">
        <f>IF(R53="",0,MAX($E59:Q59)+1)</f>
        <v>14</v>
      </c>
      <c r="S59" s="83">
        <f>IF(S53="",0,MAX($E59:R59)+1)</f>
        <v>15</v>
      </c>
      <c r="T59" s="83">
        <f>IF(T53="",0,MAX($E59:S59)+1)</f>
        <v>16</v>
      </c>
      <c r="U59" s="83">
        <f>IF(U53="",0,MAX($E59:T59)+1)</f>
        <v>17</v>
      </c>
      <c r="V59" s="83">
        <f>IF(V53="",0,MAX($E59:U59)+1)</f>
        <v>18</v>
      </c>
      <c r="W59" s="83">
        <f>IF(W53="",0,MAX($E59:V59)+1)</f>
        <v>19</v>
      </c>
      <c r="X59" s="83">
        <f>IF(X53="",0,MAX($E59:W59)+1)</f>
        <v>20</v>
      </c>
    </row>
    <row r="60" spans="1:24" ht="15" customHeight="1">
      <c r="A60" s="82" t="s">
        <v>14</v>
      </c>
      <c r="B60" s="83" t="s">
        <v>4</v>
      </c>
      <c r="C60" s="6" t="s">
        <v>36</v>
      </c>
      <c r="D60" s="83" t="s">
        <v>5</v>
      </c>
      <c r="E60" s="83" t="str">
        <f t="shared" ref="E60:X60" si="2">E53</f>
        <v>N</v>
      </c>
      <c r="F60" s="83" t="str">
        <f t="shared" si="2"/>
        <v>N</v>
      </c>
      <c r="G60" s="83" t="str">
        <f t="shared" si="2"/>
        <v>N</v>
      </c>
      <c r="H60" s="83" t="str">
        <f t="shared" si="2"/>
        <v>N</v>
      </c>
      <c r="I60" s="83" t="str">
        <f t="shared" si="2"/>
        <v>N</v>
      </c>
      <c r="J60" s="83" t="str">
        <f t="shared" si="2"/>
        <v>N</v>
      </c>
      <c r="K60" s="83" t="str">
        <f t="shared" si="2"/>
        <v>N</v>
      </c>
      <c r="L60" s="83" t="str">
        <f t="shared" si="2"/>
        <v>N</v>
      </c>
      <c r="M60" s="83" t="str">
        <f t="shared" si="2"/>
        <v>N</v>
      </c>
      <c r="N60" s="83" t="str">
        <f t="shared" si="2"/>
        <v>N</v>
      </c>
      <c r="O60" s="83" t="str">
        <f t="shared" si="2"/>
        <v>N</v>
      </c>
      <c r="P60" s="83" t="str">
        <f t="shared" si="2"/>
        <v>N</v>
      </c>
      <c r="Q60" s="83" t="str">
        <f t="shared" si="2"/>
        <v>N</v>
      </c>
      <c r="R60" s="83" t="str">
        <f t="shared" si="2"/>
        <v>N</v>
      </c>
      <c r="S60" s="83" t="str">
        <f t="shared" si="2"/>
        <v>N</v>
      </c>
      <c r="T60" s="83" t="str">
        <f t="shared" si="2"/>
        <v>N</v>
      </c>
      <c r="U60" s="83" t="str">
        <f t="shared" si="2"/>
        <v>N</v>
      </c>
      <c r="V60" s="83" t="str">
        <f t="shared" si="2"/>
        <v>N</v>
      </c>
      <c r="W60" s="83" t="str">
        <f t="shared" si="2"/>
        <v>N</v>
      </c>
      <c r="X60" s="83" t="str">
        <f t="shared" si="2"/>
        <v>N</v>
      </c>
    </row>
    <row r="61" spans="1:24" ht="12.95" customHeight="1">
      <c r="A61" s="82" t="s">
        <v>15</v>
      </c>
      <c r="B61" s="83" t="s">
        <v>41</v>
      </c>
      <c r="C61" s="84" t="s">
        <v>9</v>
      </c>
      <c r="D61" s="83" t="s">
        <v>1</v>
      </c>
      <c r="E61" s="83">
        <f>GetStatusCount(E$60:X$60,"N",0)</f>
        <v>20</v>
      </c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</row>
    <row r="62" spans="1:24" ht="12.95" customHeight="1">
      <c r="A62" s="82" t="s">
        <v>16</v>
      </c>
      <c r="B62" s="83" t="s">
        <v>6</v>
      </c>
      <c r="C62" s="6" t="s">
        <v>37</v>
      </c>
      <c r="D62" s="83" t="s">
        <v>2</v>
      </c>
      <c r="E62" s="83">
        <f>GetStatusCount(E$60:X$60,"E",0)</f>
        <v>0</v>
      </c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</row>
    <row r="63" spans="1:24" ht="12.95" customHeight="1">
      <c r="A63" s="82"/>
      <c r="B63" s="83"/>
      <c r="C63" s="83"/>
      <c r="D63" s="83" t="s">
        <v>3</v>
      </c>
      <c r="E63" s="83">
        <f>GetStatusCount(E$60:X$60,"L",0)</f>
        <v>0</v>
      </c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</row>
    <row r="64" spans="1:24" ht="12.95" customHeight="1">
      <c r="A64" s="6"/>
      <c r="B64" s="6"/>
      <c r="C64" s="6"/>
      <c r="D64" s="83" t="s">
        <v>7</v>
      </c>
      <c r="E64" s="83">
        <f>GetStatusCount(E$60:X$60,"I",0)</f>
        <v>0</v>
      </c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</row>
    <row r="65" spans="1:24" ht="12.9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</row>
    <row r="66" spans="1:24" ht="12.9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</row>
    <row r="67" spans="1:24" ht="12.9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</row>
    <row r="68" spans="1:24" ht="12.9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</row>
    <row r="69" spans="1:24" ht="12.9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</row>
    <row r="70" spans="1:24" ht="12.9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</row>
    <row r="71" spans="1:24" ht="12.9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</row>
    <row r="72" spans="1:24" ht="12.9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</row>
    <row r="73" spans="1:24" ht="12.9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</row>
    <row r="74" spans="1:24" ht="12.9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spans="1:24" ht="12.9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</row>
  </sheetData>
  <sheetProtection sheet="1" objects="1" scenarios="1"/>
  <mergeCells count="3">
    <mergeCell ref="U2:X5"/>
    <mergeCell ref="A8:A30"/>
    <mergeCell ref="A31:A51"/>
  </mergeCells>
  <phoneticPr fontId="8" type="noConversion"/>
  <printOptions gridLinesSet="0"/>
  <pageMargins left="0.59055118110236227" right="0.19685039370078741" top="0.39370078740157483" bottom="0.39370078740157483" header="0.11811023622047245" footer="0.11811023622047245"/>
  <pageSetup paperSize="9" scale="90" orientation="portrait" horizontalDpi="300" verticalDpi="300" r:id="rId1"/>
  <headerFooter alignWithMargins="0">
    <oddFooter>制作人: YuYang &amp;D&amp;R 第 &amp;P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locked="0" defaultSize="0" print="0" autoFill="0" autoLine="0" autoPict="0" macro="[0]!ContentsClear">
                <anchor moveWithCells="1" sizeWithCells="1">
                  <from>
                    <xdr:col>3</xdr:col>
                    <xdr:colOff>133350</xdr:colOff>
                    <xdr:row>0</xdr:row>
                    <xdr:rowOff>19050</xdr:rowOff>
                  </from>
                  <to>
                    <xdr:col>3</xdr:col>
                    <xdr:colOff>933450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98" r:id="rId5" name="Button 2">
              <controlPr locked="0" defaultSize="0" print="0" autoFill="0" autoLine="0" autoPict="0" macro="[0]!CalcID">
                <anchor moveWithCells="1" sizeWithCells="1">
                  <from>
                    <xdr:col>3</xdr:col>
                    <xdr:colOff>133350</xdr:colOff>
                    <xdr:row>2</xdr:row>
                    <xdr:rowOff>85725</xdr:rowOff>
                  </from>
                  <to>
                    <xdr:col>3</xdr:col>
                    <xdr:colOff>933450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99" r:id="rId6" name="Button 3">
              <controlPr locked="0" defaultSize="0" print="0" autoFill="0" autoLine="0" autoPict="0" macro="[0]!SetHeade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00" r:id="rId7" name="Button 4">
              <controlPr locked="0" defaultSize="0" print="0" autoFill="0" autoLine="0" autoPict="0" macro="[0]!SetID">
                <anchor moveWithCells="1" sizeWithCells="1">
                  <from>
                    <xdr:col>4</xdr:col>
                    <xdr:colOff>19050</xdr:colOff>
                    <xdr:row>2</xdr:row>
                    <xdr:rowOff>85725</xdr:rowOff>
                  </from>
                  <to>
                    <xdr:col>8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01" r:id="rId8" name="Button 5">
              <controlPr locked="0" defaultSize="0" print="0" autoFill="0" autoLine="0" autoPict="0" macro="[0]!OnPrint">
                <anchor moveWithCells="1" sizeWithCells="1">
                  <from>
                    <xdr:col>8</xdr:col>
                    <xdr:colOff>161925</xdr:colOff>
                    <xdr:row>0</xdr:row>
                    <xdr:rowOff>28575</xdr:rowOff>
                  </from>
                  <to>
                    <xdr:col>11</xdr:col>
                    <xdr:colOff>142875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02" r:id="rId9" name="Button 6">
              <controlPr locked="0" defaultSize="0" print="0" autoFill="0" autoLine="0" autoPict="0" macro="[0]!CreateShee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03" r:id="rId10" name="Button 7">
              <controlPr locked="0" defaultSize="0" print="0" autoFill="0" autoLine="0" autoPict="0" macro="[0]!DeleteSheet">
                <anchor moveWithCells="1" sizeWithCells="1">
                  <from>
                    <xdr:col>1</xdr:col>
                    <xdr:colOff>628650</xdr:colOff>
                    <xdr:row>0</xdr:row>
                    <xdr:rowOff>28575</xdr:rowOff>
                  </from>
                  <to>
                    <xdr:col>2</xdr:col>
                    <xdr:colOff>666750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AA75"/>
  <sheetViews>
    <sheetView showGridLines="0" tabSelected="1" view="pageBreakPreview" topLeftCell="A19" zoomScale="130" zoomScaleNormal="130" zoomScaleSheetLayoutView="130" workbookViewId="0">
      <selection activeCell="J47" sqref="J47"/>
    </sheetView>
  </sheetViews>
  <sheetFormatPr defaultRowHeight="12.75"/>
  <cols>
    <col min="1" max="1" width="3.125" style="1" customWidth="1"/>
    <col min="2" max="2" width="10" style="1" customWidth="1"/>
    <col min="3" max="3" width="18.75" style="1" customWidth="1"/>
    <col min="4" max="4" width="12.5" style="1" customWidth="1"/>
    <col min="5" max="5" width="2.625" style="1" customWidth="1"/>
    <col min="6" max="13" width="2.25" style="1" customWidth="1"/>
    <col min="14" max="14" width="2.625" style="1" customWidth="1"/>
    <col min="15" max="24" width="2.25" style="1" customWidth="1"/>
    <col min="25" max="25" width="7" style="1" customWidth="1"/>
    <col min="26" max="28" width="2.125" style="1" customWidth="1"/>
    <col min="29" max="16384" width="9" style="1"/>
  </cols>
  <sheetData>
    <row r="1" spans="1:27">
      <c r="M1" s="2" t="s">
        <v>39</v>
      </c>
      <c r="N1" s="3"/>
      <c r="O1" s="3"/>
      <c r="P1" s="4"/>
      <c r="Q1" s="2" t="s">
        <v>40</v>
      </c>
      <c r="R1" s="3"/>
      <c r="S1" s="3"/>
      <c r="T1" s="4"/>
      <c r="U1" s="2" t="s">
        <v>0</v>
      </c>
      <c r="V1" s="3"/>
      <c r="W1" s="3"/>
      <c r="X1" s="4"/>
    </row>
    <row r="2" spans="1:27" ht="13.5" customHeight="1">
      <c r="M2" s="5"/>
      <c r="N2" s="6"/>
      <c r="O2" s="6"/>
      <c r="P2" s="7"/>
      <c r="Q2" s="5"/>
      <c r="R2" s="6"/>
      <c r="S2" s="6"/>
      <c r="T2" s="7"/>
      <c r="U2" s="98"/>
      <c r="V2" s="99"/>
      <c r="W2" s="99"/>
      <c r="X2" s="100"/>
      <c r="AA2" s="1" t="s">
        <v>11</v>
      </c>
    </row>
    <row r="3" spans="1:27" ht="13.5" customHeight="1">
      <c r="M3" s="5"/>
      <c r="N3" s="6"/>
      <c r="O3" s="6"/>
      <c r="P3" s="7"/>
      <c r="Q3" s="5"/>
      <c r="R3" s="6"/>
      <c r="S3" s="6"/>
      <c r="T3" s="7"/>
      <c r="U3" s="101"/>
      <c r="V3" s="102"/>
      <c r="W3" s="102"/>
      <c r="X3" s="103"/>
    </row>
    <row r="4" spans="1:27" ht="13.5" customHeight="1">
      <c r="M4" s="5"/>
      <c r="N4" s="6"/>
      <c r="O4" s="6"/>
      <c r="P4" s="7"/>
      <c r="Q4" s="5"/>
      <c r="R4" s="6"/>
      <c r="S4" s="6"/>
      <c r="T4" s="7"/>
      <c r="U4" s="101"/>
      <c r="V4" s="102"/>
      <c r="W4" s="102"/>
      <c r="X4" s="103"/>
      <c r="Y4" s="1" t="s">
        <v>43</v>
      </c>
    </row>
    <row r="5" spans="1:27" ht="14.25" customHeight="1" thickBot="1">
      <c r="A5" s="8" t="s">
        <v>19</v>
      </c>
      <c r="M5" s="9"/>
      <c r="N5" s="10"/>
      <c r="O5" s="10"/>
      <c r="P5" s="11"/>
      <c r="Q5" s="9"/>
      <c r="R5" s="10"/>
      <c r="S5" s="10"/>
      <c r="T5" s="11"/>
      <c r="U5" s="104"/>
      <c r="V5" s="105"/>
      <c r="W5" s="105"/>
      <c r="X5" s="106"/>
    </row>
    <row r="6" spans="1:27" s="18" customFormat="1" ht="13.5" thickBot="1">
      <c r="A6" s="12" t="s">
        <v>20</v>
      </c>
      <c r="B6" s="13"/>
      <c r="C6" s="14" t="s">
        <v>17</v>
      </c>
      <c r="D6" s="15"/>
      <c r="E6" s="16" t="s">
        <v>18</v>
      </c>
      <c r="F6" s="16"/>
      <c r="G6" s="16"/>
      <c r="H6" s="16"/>
      <c r="I6" s="16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7"/>
    </row>
    <row r="7" spans="1:27" ht="46.5" customHeight="1" thickBot="1">
      <c r="A7" s="19"/>
      <c r="B7" s="20" t="s">
        <v>21</v>
      </c>
      <c r="C7" s="20"/>
      <c r="D7" s="21" t="s">
        <v>22</v>
      </c>
      <c r="E7" s="22" t="str">
        <f>IF(E53="","",$C$62 &amp; $C$61 &amp; $C$60 &amp; E53 &amp; TEXT(E59,"0000" ))</f>
        <v>TCN000UTN0001</v>
      </c>
      <c r="F7" s="23" t="str">
        <f t="shared" ref="F7:X7" si="0">IF(F53="","",$C$62 &amp; $C$61 &amp; $C$60 &amp; F53 &amp; TEXT(F59,"0000" ))</f>
        <v>TCN000UTN0002</v>
      </c>
      <c r="G7" s="23" t="str">
        <f t="shared" si="0"/>
        <v>TCN000UTN0003</v>
      </c>
      <c r="H7" s="23" t="str">
        <f t="shared" si="0"/>
        <v>TCN000UTN0004</v>
      </c>
      <c r="I7" s="23" t="str">
        <f t="shared" si="0"/>
        <v>TCN000UTN0005</v>
      </c>
      <c r="J7" s="23" t="str">
        <f t="shared" si="0"/>
        <v>TCN000UTN0006</v>
      </c>
      <c r="K7" s="23" t="str">
        <f t="shared" si="0"/>
        <v/>
      </c>
      <c r="L7" s="23" t="str">
        <f t="shared" si="0"/>
        <v/>
      </c>
      <c r="M7" s="23" t="str">
        <f t="shared" si="0"/>
        <v/>
      </c>
      <c r="N7" s="23" t="str">
        <f t="shared" si="0"/>
        <v/>
      </c>
      <c r="O7" s="23" t="str">
        <f t="shared" si="0"/>
        <v/>
      </c>
      <c r="P7" s="23" t="str">
        <f t="shared" si="0"/>
        <v/>
      </c>
      <c r="Q7" s="23" t="str">
        <f t="shared" si="0"/>
        <v/>
      </c>
      <c r="R7" s="23" t="str">
        <f t="shared" si="0"/>
        <v/>
      </c>
      <c r="S7" s="23" t="str">
        <f t="shared" si="0"/>
        <v/>
      </c>
      <c r="T7" s="23" t="str">
        <f t="shared" si="0"/>
        <v/>
      </c>
      <c r="U7" s="23" t="str">
        <f t="shared" si="0"/>
        <v/>
      </c>
      <c r="V7" s="23" t="str">
        <f t="shared" si="0"/>
        <v/>
      </c>
      <c r="W7" s="23" t="str">
        <f t="shared" si="0"/>
        <v/>
      </c>
      <c r="X7" s="24" t="str">
        <f t="shared" si="0"/>
        <v/>
      </c>
    </row>
    <row r="8" spans="1:27" s="6" customFormat="1" ht="11.25" customHeight="1">
      <c r="A8" s="107" t="s">
        <v>23</v>
      </c>
      <c r="B8" s="25" t="s">
        <v>69</v>
      </c>
      <c r="C8" s="26"/>
      <c r="D8" s="27"/>
      <c r="E8" s="28" t="s">
        <v>42</v>
      </c>
      <c r="F8" s="29" t="s">
        <v>42</v>
      </c>
      <c r="G8" s="29" t="s">
        <v>42</v>
      </c>
      <c r="H8" s="29" t="s">
        <v>42</v>
      </c>
      <c r="I8" s="29" t="s">
        <v>42</v>
      </c>
      <c r="J8" s="29" t="s">
        <v>42</v>
      </c>
      <c r="K8" s="29" t="s">
        <v>42</v>
      </c>
      <c r="L8" s="29" t="s">
        <v>42</v>
      </c>
      <c r="M8" s="29" t="s">
        <v>42</v>
      </c>
      <c r="N8" s="29" t="s">
        <v>42</v>
      </c>
      <c r="O8" s="29" t="s">
        <v>42</v>
      </c>
      <c r="P8" s="29" t="s">
        <v>42</v>
      </c>
      <c r="Q8" s="29" t="s">
        <v>42</v>
      </c>
      <c r="R8" s="29" t="s">
        <v>42</v>
      </c>
      <c r="S8" s="29" t="s">
        <v>42</v>
      </c>
      <c r="T8" s="29" t="s">
        <v>42</v>
      </c>
      <c r="U8" s="29" t="s">
        <v>42</v>
      </c>
      <c r="V8" s="29" t="s">
        <v>42</v>
      </c>
      <c r="W8" s="29" t="s">
        <v>42</v>
      </c>
      <c r="X8" s="29" t="s">
        <v>42</v>
      </c>
    </row>
    <row r="9" spans="1:27" ht="11.25" customHeight="1">
      <c r="A9" s="108"/>
      <c r="B9" s="30" t="s">
        <v>91</v>
      </c>
      <c r="C9" s="31"/>
      <c r="D9" s="32"/>
      <c r="E9" s="33"/>
      <c r="F9" s="33"/>
      <c r="G9" s="33"/>
      <c r="H9" s="88"/>
      <c r="I9" s="88"/>
      <c r="J9" s="33"/>
      <c r="K9" s="88"/>
      <c r="L9" s="33"/>
      <c r="M9" s="33"/>
      <c r="N9" s="33"/>
      <c r="O9" s="33"/>
      <c r="P9" s="88"/>
      <c r="Q9" s="33"/>
      <c r="R9" s="33"/>
      <c r="S9" s="33"/>
      <c r="T9" s="33"/>
      <c r="U9" s="33"/>
      <c r="V9" s="33"/>
      <c r="W9" s="33"/>
      <c r="X9" s="34"/>
    </row>
    <row r="10" spans="1:27" ht="11.25" customHeight="1">
      <c r="A10" s="108"/>
      <c r="B10" s="30" t="s">
        <v>101</v>
      </c>
      <c r="C10" s="31"/>
      <c r="D10" s="32"/>
      <c r="E10" s="33" t="s">
        <v>42</v>
      </c>
      <c r="F10" s="33" t="s">
        <v>42</v>
      </c>
      <c r="G10" s="33" t="s">
        <v>42</v>
      </c>
      <c r="H10" s="33" t="s">
        <v>42</v>
      </c>
      <c r="I10" s="33" t="s">
        <v>42</v>
      </c>
      <c r="J10" s="33" t="s">
        <v>42</v>
      </c>
      <c r="K10" s="88"/>
      <c r="L10" s="88"/>
      <c r="M10" s="88"/>
      <c r="N10" s="88"/>
      <c r="O10" s="88"/>
      <c r="P10" s="33"/>
      <c r="Q10" s="88"/>
      <c r="R10" s="33"/>
      <c r="S10" s="33"/>
      <c r="T10" s="33"/>
      <c r="U10" s="33"/>
      <c r="V10" s="88"/>
      <c r="W10" s="33"/>
      <c r="X10" s="34"/>
    </row>
    <row r="11" spans="1:27" ht="11.25" customHeight="1">
      <c r="A11" s="108"/>
      <c r="B11" s="30" t="s">
        <v>92</v>
      </c>
      <c r="C11" s="31"/>
      <c r="D11" s="32"/>
      <c r="E11" s="88"/>
      <c r="F11" s="88"/>
      <c r="G11" s="33"/>
      <c r="H11" s="88"/>
      <c r="I11" s="88"/>
      <c r="J11" s="88"/>
      <c r="K11" s="88"/>
      <c r="L11" s="88"/>
      <c r="M11" s="88"/>
      <c r="N11" s="88"/>
      <c r="O11" s="88"/>
      <c r="P11" s="33"/>
      <c r="Q11" s="90"/>
      <c r="R11" s="33"/>
      <c r="S11" s="33"/>
      <c r="T11" s="33"/>
      <c r="U11" s="33"/>
      <c r="V11" s="33"/>
      <c r="W11" s="33"/>
      <c r="X11" s="34"/>
    </row>
    <row r="12" spans="1:27" ht="11.25" customHeight="1">
      <c r="A12" s="108"/>
      <c r="B12" s="30" t="s">
        <v>93</v>
      </c>
      <c r="C12" s="31"/>
      <c r="D12" s="32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33"/>
      <c r="Q12" s="90"/>
      <c r="R12" s="33"/>
      <c r="S12" s="33"/>
      <c r="T12" s="33"/>
      <c r="U12" s="33"/>
      <c r="V12" s="88"/>
      <c r="W12" s="33"/>
      <c r="X12" s="34"/>
    </row>
    <row r="13" spans="1:27" ht="11.25" customHeight="1">
      <c r="A13" s="108"/>
      <c r="B13" s="30" t="s">
        <v>94</v>
      </c>
      <c r="C13" s="31"/>
      <c r="D13" s="32"/>
      <c r="E13" s="89"/>
      <c r="F13" s="88"/>
      <c r="G13" s="33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33"/>
      <c r="S13" s="33"/>
      <c r="T13" s="88"/>
      <c r="U13" s="88"/>
      <c r="V13" s="33"/>
      <c r="W13" s="33"/>
      <c r="X13" s="34"/>
    </row>
    <row r="14" spans="1:27" ht="11.25" customHeight="1">
      <c r="A14" s="108"/>
      <c r="B14" s="30" t="s">
        <v>95</v>
      </c>
      <c r="C14" s="31"/>
      <c r="D14" s="32"/>
      <c r="E14" s="88"/>
      <c r="F14" s="88"/>
      <c r="G14" s="33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33"/>
      <c r="U14" s="88"/>
      <c r="V14" s="88"/>
      <c r="W14" s="88"/>
      <c r="X14" s="88"/>
    </row>
    <row r="15" spans="1:27" ht="11.25" customHeight="1">
      <c r="A15" s="108"/>
      <c r="B15" s="30" t="s">
        <v>96</v>
      </c>
      <c r="C15" s="31"/>
      <c r="D15" s="32"/>
      <c r="E15" s="88"/>
      <c r="F15" s="88"/>
      <c r="G15" s="33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33"/>
      <c r="T15" s="88"/>
      <c r="U15" s="88"/>
      <c r="V15" s="88"/>
      <c r="W15" s="88"/>
      <c r="X15" s="88"/>
    </row>
    <row r="16" spans="1:27" ht="11.25" customHeight="1">
      <c r="A16" s="108"/>
      <c r="B16" s="30" t="s">
        <v>97</v>
      </c>
      <c r="C16" s="31"/>
      <c r="D16" s="32"/>
      <c r="E16" s="88"/>
      <c r="F16" s="88"/>
      <c r="G16" s="33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33"/>
      <c r="S16" s="88"/>
      <c r="T16" s="88"/>
      <c r="U16" s="88"/>
      <c r="V16" s="33"/>
      <c r="W16" s="33"/>
      <c r="X16" s="34"/>
    </row>
    <row r="17" spans="1:24" ht="11.25" customHeight="1">
      <c r="A17" s="108"/>
      <c r="B17" s="30" t="s">
        <v>98</v>
      </c>
      <c r="C17" s="31"/>
      <c r="D17" s="32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33"/>
      <c r="T17" s="88"/>
      <c r="U17" s="88"/>
      <c r="V17" s="33"/>
      <c r="W17" s="33"/>
      <c r="X17" s="34"/>
    </row>
    <row r="18" spans="1:24" ht="11.25" customHeight="1">
      <c r="A18" s="108"/>
      <c r="B18" s="30" t="s">
        <v>99</v>
      </c>
      <c r="C18" s="31"/>
      <c r="D18" s="32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33"/>
      <c r="R18" s="88"/>
      <c r="S18" s="88"/>
      <c r="T18" s="88"/>
      <c r="U18" s="33"/>
      <c r="V18" s="33"/>
      <c r="W18" s="33"/>
      <c r="X18" s="34"/>
    </row>
    <row r="19" spans="1:24" ht="11.25" customHeight="1">
      <c r="A19" s="108"/>
      <c r="B19" s="30" t="s">
        <v>100</v>
      </c>
      <c r="C19" s="31"/>
      <c r="D19" s="32"/>
      <c r="E19" s="89"/>
      <c r="F19" s="88"/>
      <c r="G19" s="88"/>
      <c r="H19" s="88"/>
      <c r="I19" s="88"/>
      <c r="J19" s="33"/>
      <c r="K19" s="33"/>
      <c r="L19" s="33"/>
      <c r="M19" s="33"/>
      <c r="N19" s="33"/>
      <c r="O19" s="88"/>
      <c r="P19" s="88"/>
      <c r="Q19" s="33"/>
      <c r="R19" s="33"/>
      <c r="S19" s="88"/>
      <c r="T19" s="88"/>
      <c r="U19" s="33"/>
      <c r="V19" s="33"/>
      <c r="W19" s="33"/>
      <c r="X19" s="34"/>
    </row>
    <row r="20" spans="1:24" ht="11.25" customHeight="1">
      <c r="A20" s="108"/>
      <c r="B20" s="30" t="s">
        <v>61</v>
      </c>
      <c r="C20" s="31"/>
      <c r="D20" s="32"/>
      <c r="E20" s="89"/>
      <c r="F20" s="88"/>
      <c r="G20" s="88"/>
      <c r="H20" s="88"/>
      <c r="I20" s="88"/>
      <c r="J20" s="33"/>
      <c r="K20" s="33"/>
      <c r="L20" s="33"/>
      <c r="M20" s="33"/>
      <c r="N20" s="33"/>
      <c r="O20" s="33"/>
      <c r="P20" s="88"/>
      <c r="Q20" s="33"/>
      <c r="R20" s="33"/>
      <c r="S20" s="33"/>
      <c r="T20" s="33"/>
      <c r="U20" s="33"/>
      <c r="V20" s="33"/>
      <c r="W20" s="33"/>
      <c r="X20" s="34"/>
    </row>
    <row r="21" spans="1:24" ht="11.25" customHeight="1">
      <c r="A21" s="108"/>
      <c r="B21" s="30" t="s">
        <v>62</v>
      </c>
      <c r="C21" s="31"/>
      <c r="D21" s="32"/>
      <c r="E21" s="89"/>
      <c r="F21" s="88"/>
      <c r="G21" s="88"/>
      <c r="H21" s="88"/>
      <c r="I21" s="88"/>
      <c r="J21" s="33"/>
      <c r="K21" s="33"/>
      <c r="L21" s="33"/>
      <c r="M21" s="33"/>
      <c r="N21" s="33"/>
      <c r="O21" s="33"/>
      <c r="P21" s="90"/>
      <c r="Q21" s="88"/>
      <c r="R21" s="33"/>
      <c r="S21" s="33"/>
      <c r="T21" s="33"/>
      <c r="U21" s="33"/>
      <c r="V21" s="33"/>
      <c r="W21" s="33"/>
      <c r="X21" s="34"/>
    </row>
    <row r="22" spans="1:24" ht="11.25" customHeight="1">
      <c r="A22" s="108"/>
      <c r="B22" s="30" t="s">
        <v>51</v>
      </c>
      <c r="C22" s="31"/>
      <c r="D22" s="32"/>
      <c r="E22" s="89"/>
      <c r="F22" s="88"/>
      <c r="G22" s="88"/>
      <c r="H22" s="88"/>
      <c r="I22" s="88"/>
      <c r="J22" s="33"/>
      <c r="K22" s="33"/>
      <c r="L22" s="33"/>
      <c r="M22" s="33"/>
      <c r="N22" s="33"/>
      <c r="O22" s="33"/>
      <c r="P22" s="90"/>
      <c r="Q22" s="33"/>
      <c r="R22" s="88"/>
      <c r="S22" s="33"/>
      <c r="T22" s="33"/>
      <c r="U22" s="33"/>
      <c r="V22" s="33"/>
      <c r="W22" s="33"/>
      <c r="X22" s="34"/>
    </row>
    <row r="23" spans="1:24" ht="11.25" customHeight="1">
      <c r="A23" s="108"/>
      <c r="B23" s="30" t="s">
        <v>44</v>
      </c>
      <c r="C23" s="31"/>
      <c r="D23" s="32"/>
      <c r="E23" s="89"/>
      <c r="F23" s="88"/>
      <c r="G23" s="88"/>
      <c r="H23" s="88"/>
      <c r="I23" s="88"/>
      <c r="J23" s="33"/>
      <c r="K23" s="33"/>
      <c r="L23" s="33"/>
      <c r="M23" s="33"/>
      <c r="N23" s="33"/>
      <c r="O23" s="33"/>
      <c r="P23" s="90"/>
      <c r="Q23" s="33"/>
      <c r="R23" s="33"/>
      <c r="S23" s="88"/>
      <c r="T23" s="33"/>
      <c r="U23" s="33"/>
      <c r="V23" s="33"/>
      <c r="W23" s="33"/>
      <c r="X23" s="34"/>
    </row>
    <row r="24" spans="1:24" ht="11.25" customHeight="1">
      <c r="A24" s="108"/>
      <c r="B24" s="30" t="s">
        <v>45</v>
      </c>
      <c r="C24" s="31"/>
      <c r="D24" s="32"/>
      <c r="E24" s="89"/>
      <c r="F24" s="88"/>
      <c r="G24" s="88"/>
      <c r="H24" s="88"/>
      <c r="I24" s="88"/>
      <c r="J24" s="33"/>
      <c r="K24" s="33"/>
      <c r="L24" s="33"/>
      <c r="M24" s="33"/>
      <c r="N24" s="33"/>
      <c r="O24" s="33"/>
      <c r="P24" s="90"/>
      <c r="Q24" s="33"/>
      <c r="R24" s="33"/>
      <c r="S24" s="33"/>
      <c r="T24" s="88"/>
      <c r="U24" s="33"/>
      <c r="V24" s="33"/>
      <c r="W24" s="33"/>
      <c r="X24" s="34"/>
    </row>
    <row r="25" spans="1:24" ht="11.25" customHeight="1">
      <c r="A25" s="108"/>
      <c r="B25" s="30" t="s">
        <v>46</v>
      </c>
      <c r="C25" s="31"/>
      <c r="D25" s="32"/>
      <c r="E25" s="89"/>
      <c r="F25" s="88"/>
      <c r="G25" s="88"/>
      <c r="H25" s="88"/>
      <c r="I25" s="88"/>
      <c r="J25" s="33"/>
      <c r="K25" s="33"/>
      <c r="L25" s="33"/>
      <c r="M25" s="33"/>
      <c r="N25" s="33"/>
      <c r="O25" s="33"/>
      <c r="P25" s="90"/>
      <c r="Q25" s="33"/>
      <c r="R25" s="33"/>
      <c r="S25" s="33"/>
      <c r="T25" s="33"/>
      <c r="U25" s="88"/>
      <c r="V25" s="33"/>
      <c r="W25" s="33"/>
      <c r="X25" s="34"/>
    </row>
    <row r="26" spans="1:24" ht="11.25" customHeight="1">
      <c r="A26" s="108"/>
      <c r="B26" s="30" t="s">
        <v>47</v>
      </c>
      <c r="C26" s="31"/>
      <c r="D26" s="32"/>
      <c r="E26" s="89"/>
      <c r="F26" s="88"/>
      <c r="G26" s="88"/>
      <c r="H26" s="88"/>
      <c r="I26" s="88"/>
      <c r="J26" s="33"/>
      <c r="K26" s="33"/>
      <c r="L26" s="33"/>
      <c r="M26" s="33"/>
      <c r="N26" s="33"/>
      <c r="O26" s="33"/>
      <c r="P26" s="90"/>
      <c r="Q26" s="33"/>
      <c r="R26" s="33"/>
      <c r="S26" s="33"/>
      <c r="T26" s="33"/>
      <c r="U26" s="33"/>
      <c r="V26" s="88"/>
      <c r="W26" s="33"/>
      <c r="X26" s="34"/>
    </row>
    <row r="27" spans="1:24" ht="11.25" customHeight="1">
      <c r="A27" s="108"/>
      <c r="B27" s="30" t="s">
        <v>48</v>
      </c>
      <c r="C27" s="31"/>
      <c r="D27" s="32"/>
      <c r="E27" s="89"/>
      <c r="F27" s="88"/>
      <c r="G27" s="88"/>
      <c r="H27" s="88"/>
      <c r="I27" s="88"/>
      <c r="J27" s="33"/>
      <c r="K27" s="33"/>
      <c r="L27" s="33"/>
      <c r="M27" s="33"/>
      <c r="N27" s="33"/>
      <c r="O27" s="33"/>
      <c r="P27" s="90"/>
      <c r="Q27" s="33"/>
      <c r="R27" s="33"/>
      <c r="S27" s="33"/>
      <c r="T27" s="33"/>
      <c r="U27" s="33"/>
      <c r="V27" s="33"/>
      <c r="W27" s="88"/>
      <c r="X27" s="34"/>
    </row>
    <row r="28" spans="1:24" ht="11.25" customHeight="1">
      <c r="A28" s="108"/>
      <c r="B28" s="30" t="s">
        <v>49</v>
      </c>
      <c r="C28" s="31"/>
      <c r="D28" s="32"/>
      <c r="E28" s="89"/>
      <c r="F28" s="88"/>
      <c r="G28" s="88"/>
      <c r="H28" s="88"/>
      <c r="I28" s="88"/>
      <c r="J28" s="33"/>
      <c r="K28" s="33"/>
      <c r="L28" s="33"/>
      <c r="M28" s="33"/>
      <c r="N28" s="33"/>
      <c r="O28" s="33"/>
      <c r="P28" s="90"/>
      <c r="Q28" s="33"/>
      <c r="R28" s="33"/>
      <c r="S28" s="33"/>
      <c r="T28" s="33"/>
      <c r="U28" s="33"/>
      <c r="V28" s="33"/>
      <c r="W28" s="33"/>
      <c r="X28" s="88"/>
    </row>
    <row r="29" spans="1:24" ht="11.25" customHeight="1">
      <c r="A29" s="108"/>
      <c r="B29" s="30"/>
      <c r="C29" s="31"/>
      <c r="D29" s="32"/>
      <c r="E29" s="89"/>
      <c r="F29" s="88"/>
      <c r="G29" s="88"/>
      <c r="H29" s="88"/>
      <c r="I29" s="88"/>
      <c r="J29" s="33"/>
      <c r="K29" s="33"/>
      <c r="L29" s="88"/>
      <c r="M29" s="33"/>
      <c r="N29" s="33"/>
      <c r="O29" s="88"/>
      <c r="P29" s="90"/>
      <c r="Q29" s="33"/>
      <c r="R29" s="33"/>
      <c r="S29" s="33"/>
      <c r="T29" s="33"/>
      <c r="U29" s="33"/>
      <c r="V29" s="33"/>
      <c r="W29" s="33"/>
      <c r="X29" s="34"/>
    </row>
    <row r="30" spans="1:24" ht="11.25" customHeight="1" thickBot="1">
      <c r="A30" s="109"/>
      <c r="B30" s="35"/>
      <c r="C30" s="36"/>
      <c r="D30" s="37"/>
      <c r="E30" s="91"/>
      <c r="F30" s="92"/>
      <c r="G30" s="92"/>
      <c r="H30" s="92"/>
      <c r="I30" s="92"/>
      <c r="J30" s="92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4"/>
    </row>
    <row r="31" spans="1:24" ht="11.25" customHeight="1">
      <c r="A31" s="107" t="s">
        <v>24</v>
      </c>
      <c r="B31" s="25" t="s">
        <v>142</v>
      </c>
      <c r="C31" s="26"/>
      <c r="D31" s="27"/>
      <c r="E31" s="88" t="s">
        <v>64</v>
      </c>
      <c r="F31" s="88"/>
      <c r="G31" s="88"/>
      <c r="H31" s="88"/>
      <c r="I31" s="88"/>
      <c r="J31" s="88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4"/>
    </row>
    <row r="32" spans="1:24" ht="11.25" customHeight="1">
      <c r="A32" s="108"/>
      <c r="B32" s="30" t="s">
        <v>124</v>
      </c>
      <c r="C32" s="31"/>
      <c r="D32" s="32"/>
      <c r="E32" s="89"/>
      <c r="F32" s="88" t="s">
        <v>64</v>
      </c>
      <c r="G32" s="88"/>
      <c r="H32" s="88"/>
      <c r="I32" s="88"/>
      <c r="J32" s="33"/>
      <c r="K32" s="33"/>
      <c r="L32" s="33"/>
      <c r="M32" s="33"/>
      <c r="N32" s="33"/>
      <c r="O32" s="33"/>
      <c r="P32" s="90"/>
      <c r="Q32" s="33"/>
      <c r="R32" s="33"/>
      <c r="S32" s="33"/>
      <c r="T32" s="33"/>
      <c r="U32" s="33"/>
      <c r="V32" s="33"/>
      <c r="W32" s="33"/>
      <c r="X32" s="34"/>
    </row>
    <row r="33" spans="1:24" ht="11.25" customHeight="1">
      <c r="A33" s="108"/>
      <c r="B33" s="30" t="s">
        <v>121</v>
      </c>
      <c r="C33" s="31"/>
      <c r="D33" s="32"/>
      <c r="E33" s="89"/>
      <c r="F33" s="88"/>
      <c r="G33" s="88" t="s">
        <v>64</v>
      </c>
      <c r="H33" s="88"/>
      <c r="I33" s="88"/>
      <c r="J33" s="33"/>
      <c r="K33" s="33"/>
      <c r="L33" s="33"/>
      <c r="M33" s="33"/>
      <c r="N33" s="33"/>
      <c r="O33" s="33"/>
      <c r="P33" s="90"/>
      <c r="Q33" s="33"/>
      <c r="R33" s="33"/>
      <c r="S33" s="33"/>
      <c r="T33" s="33"/>
      <c r="U33" s="33"/>
      <c r="V33" s="33"/>
      <c r="W33" s="33"/>
      <c r="X33" s="34"/>
    </row>
    <row r="34" spans="1:24" ht="11.25" customHeight="1">
      <c r="A34" s="108"/>
      <c r="B34" s="30" t="s">
        <v>125</v>
      </c>
      <c r="C34" s="31"/>
      <c r="D34" s="32"/>
      <c r="E34" s="89"/>
      <c r="F34" s="88"/>
      <c r="G34" s="88"/>
      <c r="H34" s="88" t="s">
        <v>64</v>
      </c>
      <c r="I34" s="88"/>
      <c r="J34" s="33"/>
      <c r="K34" s="33"/>
      <c r="L34" s="33"/>
      <c r="M34" s="33"/>
      <c r="N34" s="33"/>
      <c r="O34" s="33"/>
      <c r="P34" s="90"/>
      <c r="Q34" s="33"/>
      <c r="R34" s="33"/>
      <c r="S34" s="33"/>
      <c r="T34" s="33"/>
      <c r="U34" s="33"/>
      <c r="V34" s="33"/>
      <c r="W34" s="33"/>
      <c r="X34" s="34"/>
    </row>
    <row r="35" spans="1:24" ht="11.25" customHeight="1">
      <c r="A35" s="108"/>
      <c r="B35" s="30" t="s">
        <v>122</v>
      </c>
      <c r="C35" s="31"/>
      <c r="D35" s="32"/>
      <c r="E35" s="89"/>
      <c r="F35" s="88"/>
      <c r="G35" s="88"/>
      <c r="H35" s="88"/>
      <c r="I35" s="88" t="s">
        <v>64</v>
      </c>
      <c r="J35" s="33"/>
      <c r="K35" s="33"/>
      <c r="L35" s="33"/>
      <c r="M35" s="33"/>
      <c r="N35" s="33"/>
      <c r="O35" s="33"/>
      <c r="P35" s="90"/>
      <c r="Q35" s="33"/>
      <c r="R35" s="33"/>
      <c r="S35" s="33"/>
      <c r="T35" s="33"/>
      <c r="U35" s="33"/>
      <c r="V35" s="33"/>
      <c r="W35" s="33"/>
      <c r="X35" s="34"/>
    </row>
    <row r="36" spans="1:24" ht="11.25" customHeight="1">
      <c r="A36" s="108"/>
      <c r="B36" s="30" t="s">
        <v>126</v>
      </c>
      <c r="C36" s="31"/>
      <c r="D36" s="32"/>
      <c r="E36" s="89"/>
      <c r="F36" s="88"/>
      <c r="G36" s="88"/>
      <c r="H36" s="88"/>
      <c r="I36" s="88"/>
      <c r="J36" s="88" t="s">
        <v>64</v>
      </c>
      <c r="K36" s="33"/>
      <c r="L36" s="33"/>
      <c r="M36" s="33"/>
      <c r="N36" s="33"/>
      <c r="O36" s="33"/>
      <c r="P36" s="90"/>
      <c r="Q36" s="33"/>
      <c r="R36" s="33"/>
      <c r="S36" s="33"/>
      <c r="T36" s="33"/>
      <c r="U36" s="33"/>
      <c r="V36" s="33"/>
      <c r="W36" s="33"/>
      <c r="X36" s="34"/>
    </row>
    <row r="37" spans="1:24" ht="11.25" customHeight="1">
      <c r="A37" s="108"/>
      <c r="B37" s="30" t="s">
        <v>123</v>
      </c>
      <c r="C37" s="31"/>
      <c r="D37" s="32"/>
      <c r="E37" s="89"/>
      <c r="F37" s="88"/>
      <c r="G37" s="88"/>
      <c r="H37" s="88"/>
      <c r="I37" s="88"/>
      <c r="J37" s="33"/>
      <c r="K37" s="88"/>
      <c r="L37" s="33"/>
      <c r="M37" s="33"/>
      <c r="N37" s="33"/>
      <c r="O37" s="33"/>
      <c r="P37" s="90"/>
      <c r="Q37" s="33"/>
      <c r="R37" s="33"/>
      <c r="S37" s="33"/>
      <c r="T37" s="33"/>
      <c r="U37" s="33"/>
      <c r="V37" s="33"/>
      <c r="W37" s="33"/>
      <c r="X37" s="34"/>
    </row>
    <row r="38" spans="1:24" ht="11.25" customHeight="1">
      <c r="A38" s="108"/>
      <c r="B38" s="30" t="s">
        <v>127</v>
      </c>
      <c r="C38" s="31"/>
      <c r="D38" s="32"/>
      <c r="E38" s="89"/>
      <c r="F38" s="88"/>
      <c r="G38" s="88"/>
      <c r="H38" s="88"/>
      <c r="I38" s="88"/>
      <c r="J38" s="33"/>
      <c r="K38" s="33"/>
      <c r="L38" s="88"/>
      <c r="M38" s="33"/>
      <c r="N38" s="33"/>
      <c r="O38" s="33"/>
      <c r="P38" s="90"/>
      <c r="Q38" s="33"/>
      <c r="R38" s="33"/>
      <c r="S38" s="33"/>
      <c r="T38" s="33"/>
      <c r="U38" s="33"/>
      <c r="V38" s="33"/>
      <c r="W38" s="33"/>
      <c r="X38" s="34"/>
    </row>
    <row r="39" spans="1:24" ht="11.25" customHeight="1">
      <c r="A39" s="108"/>
      <c r="B39" s="30" t="s">
        <v>134</v>
      </c>
      <c r="C39" s="31"/>
      <c r="D39" s="32"/>
      <c r="E39" s="89"/>
      <c r="F39" s="88"/>
      <c r="G39" s="88"/>
      <c r="H39" s="88"/>
      <c r="I39" s="88"/>
      <c r="J39" s="33"/>
      <c r="K39" s="33"/>
      <c r="L39" s="33"/>
      <c r="M39" s="88"/>
      <c r="N39" s="88"/>
      <c r="O39" s="88"/>
      <c r="P39" s="33"/>
      <c r="Q39" s="33"/>
      <c r="R39" s="33"/>
      <c r="S39" s="33"/>
      <c r="T39" s="33"/>
      <c r="U39" s="33"/>
      <c r="V39" s="33"/>
      <c r="W39" s="33"/>
      <c r="X39" s="34"/>
    </row>
    <row r="40" spans="1:24" ht="11.25" customHeight="1">
      <c r="A40" s="108"/>
      <c r="B40" s="30" t="s">
        <v>128</v>
      </c>
      <c r="C40" s="31"/>
      <c r="D40" s="32"/>
      <c r="E40" s="89"/>
      <c r="F40" s="88"/>
      <c r="G40" s="88"/>
      <c r="H40" s="88"/>
      <c r="I40" s="88"/>
      <c r="J40" s="33"/>
      <c r="K40" s="33"/>
      <c r="L40" s="33"/>
      <c r="M40" s="88"/>
      <c r="N40" s="88"/>
      <c r="O40" s="88"/>
      <c r="P40" s="33"/>
      <c r="Q40" s="33"/>
      <c r="R40" s="33"/>
      <c r="S40" s="33"/>
      <c r="T40" s="33"/>
      <c r="U40" s="33"/>
      <c r="V40" s="33"/>
      <c r="W40" s="33"/>
      <c r="X40" s="34"/>
    </row>
    <row r="41" spans="1:24" ht="11.25" customHeight="1">
      <c r="A41" s="108"/>
      <c r="B41" s="30" t="s">
        <v>135</v>
      </c>
      <c r="C41" s="31"/>
      <c r="D41" s="32"/>
      <c r="E41" s="89"/>
      <c r="F41" s="88"/>
      <c r="G41" s="88"/>
      <c r="H41" s="88"/>
      <c r="I41" s="88"/>
      <c r="J41" s="33"/>
      <c r="K41" s="33"/>
      <c r="L41" s="33"/>
      <c r="M41" s="88"/>
      <c r="N41" s="88"/>
      <c r="O41" s="88"/>
      <c r="P41" s="33"/>
      <c r="Q41" s="33"/>
      <c r="R41" s="33"/>
      <c r="S41" s="33"/>
      <c r="T41" s="33"/>
      <c r="U41" s="33"/>
      <c r="V41" s="33"/>
      <c r="W41" s="33"/>
      <c r="X41" s="34"/>
    </row>
    <row r="42" spans="1:24" ht="11.25" customHeight="1">
      <c r="A42" s="108"/>
      <c r="B42" s="30" t="s">
        <v>129</v>
      </c>
      <c r="C42" s="31"/>
      <c r="D42" s="32"/>
      <c r="E42" s="89"/>
      <c r="F42" s="88"/>
      <c r="G42" s="88"/>
      <c r="H42" s="88"/>
      <c r="I42" s="88"/>
      <c r="J42" s="33"/>
      <c r="K42" s="33"/>
      <c r="L42" s="33"/>
      <c r="M42" s="88"/>
      <c r="N42" s="88"/>
      <c r="O42" s="88"/>
      <c r="P42" s="88"/>
      <c r="Q42" s="33"/>
      <c r="R42" s="33"/>
      <c r="S42" s="33"/>
      <c r="T42" s="33"/>
      <c r="U42" s="33"/>
      <c r="V42" s="33"/>
      <c r="W42" s="33"/>
      <c r="X42" s="34"/>
    </row>
    <row r="43" spans="1:24" ht="11.25" customHeight="1">
      <c r="A43" s="108"/>
      <c r="B43" s="30" t="s">
        <v>136</v>
      </c>
      <c r="C43" s="31"/>
      <c r="D43" s="32"/>
      <c r="E43" s="89"/>
      <c r="F43" s="88"/>
      <c r="G43" s="88"/>
      <c r="H43" s="88"/>
      <c r="I43" s="88"/>
      <c r="J43" s="33"/>
      <c r="K43" s="33"/>
      <c r="L43" s="33"/>
      <c r="M43" s="88"/>
      <c r="N43" s="88"/>
      <c r="O43" s="88"/>
      <c r="P43" s="33"/>
      <c r="Q43" s="88"/>
      <c r="R43" s="33"/>
      <c r="S43" s="33"/>
      <c r="T43" s="33"/>
      <c r="U43" s="33"/>
      <c r="V43" s="33"/>
      <c r="W43" s="33"/>
      <c r="X43" s="34"/>
    </row>
    <row r="44" spans="1:24" ht="11.25" customHeight="1">
      <c r="A44" s="108"/>
      <c r="B44" s="30" t="s">
        <v>130</v>
      </c>
      <c r="C44" s="31"/>
      <c r="D44" s="32"/>
      <c r="E44" s="89"/>
      <c r="F44" s="88"/>
      <c r="G44" s="88"/>
      <c r="H44" s="88"/>
      <c r="I44" s="88"/>
      <c r="J44" s="33"/>
      <c r="K44" s="33"/>
      <c r="L44" s="33"/>
      <c r="M44" s="88"/>
      <c r="N44" s="88"/>
      <c r="O44" s="88"/>
      <c r="P44" s="33"/>
      <c r="Q44" s="33"/>
      <c r="R44" s="88"/>
      <c r="S44" s="33"/>
      <c r="T44" s="33"/>
      <c r="U44" s="33"/>
      <c r="V44" s="33"/>
      <c r="W44" s="33"/>
      <c r="X44" s="34"/>
    </row>
    <row r="45" spans="1:24" ht="11.25" customHeight="1">
      <c r="A45" s="108"/>
      <c r="B45" s="30" t="s">
        <v>137</v>
      </c>
      <c r="C45" s="31"/>
      <c r="D45" s="32"/>
      <c r="E45" s="89"/>
      <c r="F45" s="88"/>
      <c r="G45" s="88"/>
      <c r="H45" s="88"/>
      <c r="I45" s="88"/>
      <c r="J45" s="33"/>
      <c r="K45" s="33"/>
      <c r="L45" s="33"/>
      <c r="M45" s="33"/>
      <c r="N45" s="33"/>
      <c r="O45" s="33"/>
      <c r="P45" s="90"/>
      <c r="Q45" s="33"/>
      <c r="R45" s="33"/>
      <c r="S45" s="88"/>
      <c r="T45" s="88"/>
      <c r="U45" s="88"/>
      <c r="V45" s="33"/>
      <c r="W45" s="33"/>
      <c r="X45" s="33"/>
    </row>
    <row r="46" spans="1:24" ht="11.25" customHeight="1">
      <c r="A46" s="108"/>
      <c r="B46" s="30" t="s">
        <v>131</v>
      </c>
      <c r="C46" s="31"/>
      <c r="D46" s="32"/>
      <c r="E46" s="89"/>
      <c r="F46" s="88"/>
      <c r="G46" s="88"/>
      <c r="H46" s="88"/>
      <c r="I46" s="88"/>
      <c r="J46" s="33"/>
      <c r="K46" s="33"/>
      <c r="L46" s="33"/>
      <c r="M46" s="33"/>
      <c r="N46" s="33"/>
      <c r="O46" s="33"/>
      <c r="P46" s="90"/>
      <c r="Q46" s="33"/>
      <c r="R46" s="33"/>
      <c r="S46" s="88"/>
      <c r="T46" s="88"/>
      <c r="U46" s="88"/>
      <c r="V46" s="33"/>
      <c r="W46" s="33"/>
      <c r="X46" s="33"/>
    </row>
    <row r="47" spans="1:24" ht="11.25" customHeight="1">
      <c r="A47" s="108"/>
      <c r="B47" s="30" t="s">
        <v>138</v>
      </c>
      <c r="C47" s="31"/>
      <c r="D47" s="32"/>
      <c r="E47" s="89"/>
      <c r="F47" s="88"/>
      <c r="G47" s="88"/>
      <c r="H47" s="88"/>
      <c r="I47" s="88"/>
      <c r="J47" s="33"/>
      <c r="K47" s="33"/>
      <c r="L47" s="33"/>
      <c r="M47" s="33"/>
      <c r="N47" s="33"/>
      <c r="O47" s="33"/>
      <c r="P47" s="90"/>
      <c r="Q47" s="33"/>
      <c r="R47" s="33"/>
      <c r="S47" s="88"/>
      <c r="T47" s="88"/>
      <c r="U47" s="88"/>
      <c r="V47" s="33"/>
      <c r="W47" s="33"/>
      <c r="X47" s="33"/>
    </row>
    <row r="48" spans="1:24" ht="11.25" customHeight="1">
      <c r="A48" s="108"/>
      <c r="B48" s="30" t="s">
        <v>132</v>
      </c>
      <c r="C48" s="31"/>
      <c r="D48" s="32"/>
      <c r="E48" s="89"/>
      <c r="F48" s="88"/>
      <c r="G48" s="88"/>
      <c r="H48" s="88"/>
      <c r="I48" s="88"/>
      <c r="J48" s="33"/>
      <c r="K48" s="33"/>
      <c r="L48" s="33"/>
      <c r="M48" s="33"/>
      <c r="N48" s="33"/>
      <c r="O48" s="33"/>
      <c r="P48" s="90"/>
      <c r="Q48" s="33"/>
      <c r="R48" s="33"/>
      <c r="S48" s="88"/>
      <c r="T48" s="88"/>
      <c r="U48" s="88"/>
      <c r="V48" s="88"/>
      <c r="W48" s="33"/>
      <c r="X48" s="33"/>
    </row>
    <row r="49" spans="1:24" ht="11.25" customHeight="1">
      <c r="A49" s="108"/>
      <c r="B49" s="30" t="s">
        <v>139</v>
      </c>
      <c r="C49" s="31"/>
      <c r="D49" s="32"/>
      <c r="E49" s="89"/>
      <c r="F49" s="88"/>
      <c r="G49" s="88"/>
      <c r="H49" s="88"/>
      <c r="I49" s="88"/>
      <c r="J49" s="33"/>
      <c r="K49" s="33"/>
      <c r="L49" s="33"/>
      <c r="M49" s="33"/>
      <c r="N49" s="33"/>
      <c r="O49" s="33"/>
      <c r="P49" s="90"/>
      <c r="Q49" s="33"/>
      <c r="R49" s="33"/>
      <c r="S49" s="88"/>
      <c r="T49" s="88"/>
      <c r="U49" s="88"/>
      <c r="V49" s="33"/>
      <c r="W49" s="88"/>
      <c r="X49" s="33"/>
    </row>
    <row r="50" spans="1:24" ht="11.25" customHeight="1">
      <c r="A50" s="108"/>
      <c r="B50" s="30" t="s">
        <v>133</v>
      </c>
      <c r="C50" s="31"/>
      <c r="D50" s="32"/>
      <c r="E50" s="89"/>
      <c r="F50" s="88"/>
      <c r="G50" s="88"/>
      <c r="H50" s="88"/>
      <c r="I50" s="88"/>
      <c r="J50" s="33"/>
      <c r="K50" s="33"/>
      <c r="L50" s="33"/>
      <c r="M50" s="33"/>
      <c r="N50" s="33"/>
      <c r="O50" s="33"/>
      <c r="P50" s="90"/>
      <c r="Q50" s="33"/>
      <c r="R50" s="33"/>
      <c r="S50" s="88"/>
      <c r="T50" s="88"/>
      <c r="U50" s="88"/>
      <c r="V50" s="33"/>
      <c r="W50" s="33"/>
      <c r="X50" s="88"/>
    </row>
    <row r="51" spans="1:24" ht="11.25" customHeight="1" thickBot="1">
      <c r="A51" s="109"/>
      <c r="B51" s="30"/>
      <c r="C51" s="36"/>
      <c r="D51" s="37"/>
      <c r="E51" s="39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97"/>
    </row>
    <row r="52" spans="1:24" ht="26.25" customHeight="1">
      <c r="A52" s="40"/>
      <c r="B52" s="41" t="s">
        <v>25</v>
      </c>
      <c r="C52" s="42"/>
      <c r="D52" s="86" t="s">
        <v>31</v>
      </c>
      <c r="E52" s="43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5"/>
    </row>
    <row r="53" spans="1:24" ht="25.5">
      <c r="A53" s="46"/>
      <c r="B53" s="47" t="s">
        <v>26</v>
      </c>
      <c r="C53" s="48"/>
      <c r="D53" s="85" t="s">
        <v>32</v>
      </c>
      <c r="E53" s="50" t="str">
        <f t="shared" ref="E53:X53" si="1">IF( COUNTIF(E30:E51,"○") &lt;&gt; 0, "N", IF( COUNTIF(E30:E51,"●") &lt;&gt; 0, "E", IF( COUNTIF(E30:E51,"◎") &lt;&gt; 0, "L", IF( COUNTIF(E30:E51,"☆") &lt;&gt; 0, "I", ""))) )</f>
        <v>N</v>
      </c>
      <c r="F53" s="50" t="str">
        <f t="shared" si="1"/>
        <v>N</v>
      </c>
      <c r="G53" s="50" t="str">
        <f t="shared" si="1"/>
        <v>N</v>
      </c>
      <c r="H53" s="50" t="str">
        <f t="shared" si="1"/>
        <v>N</v>
      </c>
      <c r="I53" s="50" t="str">
        <f t="shared" si="1"/>
        <v>N</v>
      </c>
      <c r="J53" s="50" t="str">
        <f t="shared" si="1"/>
        <v>N</v>
      </c>
      <c r="K53" s="50" t="str">
        <f t="shared" si="1"/>
        <v/>
      </c>
      <c r="L53" s="50" t="str">
        <f t="shared" si="1"/>
        <v/>
      </c>
      <c r="M53" s="50" t="str">
        <f t="shared" si="1"/>
        <v/>
      </c>
      <c r="N53" s="50" t="str">
        <f t="shared" si="1"/>
        <v/>
      </c>
      <c r="O53" s="50" t="str">
        <f t="shared" si="1"/>
        <v/>
      </c>
      <c r="P53" s="50" t="str">
        <f t="shared" si="1"/>
        <v/>
      </c>
      <c r="Q53" s="50" t="str">
        <f t="shared" si="1"/>
        <v/>
      </c>
      <c r="R53" s="50" t="str">
        <f t="shared" si="1"/>
        <v/>
      </c>
      <c r="S53" s="50" t="str">
        <f t="shared" si="1"/>
        <v/>
      </c>
      <c r="T53" s="50" t="str">
        <f t="shared" si="1"/>
        <v/>
      </c>
      <c r="U53" s="50" t="str">
        <f t="shared" si="1"/>
        <v/>
      </c>
      <c r="V53" s="50" t="str">
        <f t="shared" si="1"/>
        <v/>
      </c>
      <c r="W53" s="50" t="str">
        <f t="shared" si="1"/>
        <v/>
      </c>
      <c r="X53" s="50" t="str">
        <f t="shared" si="1"/>
        <v/>
      </c>
    </row>
    <row r="54" spans="1:24">
      <c r="A54" s="51"/>
      <c r="B54" s="52"/>
      <c r="C54" s="48"/>
      <c r="D54" s="49" t="s">
        <v>33</v>
      </c>
      <c r="E54" s="53"/>
      <c r="F54" s="54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6"/>
    </row>
    <row r="55" spans="1:24" ht="21.95" customHeight="1" thickBot="1">
      <c r="A55" s="57" t="s">
        <v>27</v>
      </c>
      <c r="B55" s="58"/>
      <c r="C55" s="59"/>
      <c r="D55" s="87" t="s">
        <v>34</v>
      </c>
      <c r="E55" s="60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2"/>
    </row>
    <row r="56" spans="1:24" ht="53.25" customHeight="1">
      <c r="A56" s="63" t="s">
        <v>28</v>
      </c>
      <c r="B56" s="64"/>
      <c r="C56" s="65" t="s">
        <v>8</v>
      </c>
      <c r="D56" s="66" t="s">
        <v>30</v>
      </c>
      <c r="E56" s="67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</row>
    <row r="57" spans="1:24" s="77" customFormat="1" ht="13.5" customHeight="1" thickBot="1">
      <c r="A57" s="70"/>
      <c r="B57" s="71"/>
      <c r="C57" s="72" t="s">
        <v>29</v>
      </c>
      <c r="D57" s="73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6"/>
    </row>
    <row r="58" spans="1:24" s="77" customFormat="1" ht="13.5" customHeight="1">
      <c r="A58" s="78"/>
      <c r="B58" s="79"/>
      <c r="C58" s="80"/>
      <c r="D58" s="79"/>
      <c r="E58" s="78"/>
      <c r="F58" s="78"/>
      <c r="G58" s="78"/>
      <c r="H58" s="78"/>
      <c r="I58" s="78"/>
      <c r="J58" s="78"/>
      <c r="K58" s="78"/>
      <c r="L58" s="81" t="s">
        <v>35</v>
      </c>
      <c r="M58" s="78"/>
      <c r="N58" s="81"/>
      <c r="O58" s="81"/>
      <c r="P58" s="78"/>
      <c r="Q58" s="78"/>
      <c r="R58" s="78"/>
      <c r="S58" s="78"/>
      <c r="T58" s="78"/>
      <c r="U58" s="78"/>
      <c r="V58" s="78"/>
      <c r="W58" s="78"/>
      <c r="X58" s="78"/>
    </row>
    <row r="59" spans="1:24" ht="15.75" customHeight="1">
      <c r="A59" s="82" t="s">
        <v>13</v>
      </c>
      <c r="B59" s="83" t="s">
        <v>12</v>
      </c>
      <c r="C59" s="83" t="s">
        <v>38</v>
      </c>
      <c r="D59" s="83" t="s">
        <v>10</v>
      </c>
      <c r="E59" s="83">
        <f>IF(E53="",0,GetNextPCLID())</f>
        <v>1</v>
      </c>
      <c r="F59" s="83">
        <f>IF(F53="",0,MAX($E59:E59)+1)</f>
        <v>2</v>
      </c>
      <c r="G59" s="83">
        <f>IF(G53="",0,MAX($E59:F59)+1)</f>
        <v>3</v>
      </c>
      <c r="H59" s="83">
        <f>IF(H53="",0,MAX($E59:G59)+1)</f>
        <v>4</v>
      </c>
      <c r="I59" s="83">
        <f>IF(I53="",0,MAX($E59:H59)+1)</f>
        <v>5</v>
      </c>
      <c r="J59" s="83">
        <f>IF(J53="",0,MAX($E59:I59)+1)</f>
        <v>6</v>
      </c>
      <c r="K59" s="83">
        <f>IF(K53="",0,MAX($E59:J59)+1)</f>
        <v>0</v>
      </c>
      <c r="L59" s="83">
        <f>IF(L53="",0,MAX($E59:K59)+1)</f>
        <v>0</v>
      </c>
      <c r="M59" s="83">
        <f>IF(M53="",0,MAX($E59:L59)+1)</f>
        <v>0</v>
      </c>
      <c r="N59" s="83">
        <f>IF(N53="",0,MAX($E59:M59)+1)</f>
        <v>0</v>
      </c>
      <c r="O59" s="83">
        <f>IF(O53="",0,MAX($E59:N59)+1)</f>
        <v>0</v>
      </c>
      <c r="P59" s="83">
        <f>IF(P53="",0,MAX($E59:O59)+1)</f>
        <v>0</v>
      </c>
      <c r="Q59" s="83">
        <f>IF(Q53="",0,MAX($E59:P59)+1)</f>
        <v>0</v>
      </c>
      <c r="R59" s="83">
        <f>IF(R53="",0,MAX($E59:Q59)+1)</f>
        <v>0</v>
      </c>
      <c r="S59" s="83">
        <f>IF(S53="",0,MAX($E59:R59)+1)</f>
        <v>0</v>
      </c>
      <c r="T59" s="83">
        <f>IF(T53="",0,MAX($E59:S59)+1)</f>
        <v>0</v>
      </c>
      <c r="U59" s="83">
        <f>IF(U53="",0,MAX($E59:T59)+1)</f>
        <v>0</v>
      </c>
      <c r="V59" s="83">
        <f>IF(V53="",0,MAX($E59:U59)+1)</f>
        <v>0</v>
      </c>
      <c r="W59" s="83">
        <f>IF(W53="",0,MAX($E59:V59)+1)</f>
        <v>0</v>
      </c>
      <c r="X59" s="83">
        <f>IF(X53="",0,MAX($E59:W59)+1)</f>
        <v>0</v>
      </c>
    </row>
    <row r="60" spans="1:24" ht="15" customHeight="1">
      <c r="A60" s="82" t="s">
        <v>14</v>
      </c>
      <c r="B60" s="83" t="s">
        <v>4</v>
      </c>
      <c r="C60" s="6" t="s">
        <v>36</v>
      </c>
      <c r="D60" s="83" t="s">
        <v>5</v>
      </c>
      <c r="E60" s="83" t="str">
        <f t="shared" ref="E60:X60" si="2">E53</f>
        <v>N</v>
      </c>
      <c r="F60" s="83" t="str">
        <f t="shared" si="2"/>
        <v>N</v>
      </c>
      <c r="G60" s="83" t="str">
        <f t="shared" si="2"/>
        <v>N</v>
      </c>
      <c r="H60" s="83" t="str">
        <f t="shared" si="2"/>
        <v>N</v>
      </c>
      <c r="I60" s="83" t="str">
        <f t="shared" si="2"/>
        <v>N</v>
      </c>
      <c r="J60" s="83" t="str">
        <f t="shared" si="2"/>
        <v>N</v>
      </c>
      <c r="K60" s="83" t="str">
        <f t="shared" si="2"/>
        <v/>
      </c>
      <c r="L60" s="83" t="str">
        <f t="shared" si="2"/>
        <v/>
      </c>
      <c r="M60" s="83" t="str">
        <f t="shared" si="2"/>
        <v/>
      </c>
      <c r="N60" s="83" t="str">
        <f t="shared" si="2"/>
        <v/>
      </c>
      <c r="O60" s="83" t="str">
        <f t="shared" si="2"/>
        <v/>
      </c>
      <c r="P60" s="83" t="str">
        <f t="shared" si="2"/>
        <v/>
      </c>
      <c r="Q60" s="83" t="str">
        <f t="shared" si="2"/>
        <v/>
      </c>
      <c r="R60" s="83" t="str">
        <f t="shared" si="2"/>
        <v/>
      </c>
      <c r="S60" s="83" t="str">
        <f t="shared" si="2"/>
        <v/>
      </c>
      <c r="T60" s="83" t="str">
        <f t="shared" si="2"/>
        <v/>
      </c>
      <c r="U60" s="83" t="str">
        <f t="shared" si="2"/>
        <v/>
      </c>
      <c r="V60" s="83" t="str">
        <f t="shared" si="2"/>
        <v/>
      </c>
      <c r="W60" s="83" t="str">
        <f t="shared" si="2"/>
        <v/>
      </c>
      <c r="X60" s="83" t="str">
        <f t="shared" si="2"/>
        <v/>
      </c>
    </row>
    <row r="61" spans="1:24" ht="12.95" customHeight="1">
      <c r="A61" s="82" t="s">
        <v>15</v>
      </c>
      <c r="B61" s="83" t="s">
        <v>41</v>
      </c>
      <c r="C61" s="84" t="s">
        <v>9</v>
      </c>
      <c r="D61" s="83" t="s">
        <v>1</v>
      </c>
      <c r="E61" s="83">
        <f>GetStatusCount(E$60:X$60,"N",0)</f>
        <v>6</v>
      </c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</row>
    <row r="62" spans="1:24" ht="12.95" customHeight="1">
      <c r="A62" s="82" t="s">
        <v>16</v>
      </c>
      <c r="B62" s="83" t="s">
        <v>6</v>
      </c>
      <c r="C62" s="6" t="s">
        <v>37</v>
      </c>
      <c r="D62" s="83" t="s">
        <v>2</v>
      </c>
      <c r="E62" s="83">
        <f>GetStatusCount(E$60:X$60,"E",0)</f>
        <v>0</v>
      </c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</row>
    <row r="63" spans="1:24" ht="12.95" customHeight="1">
      <c r="A63" s="82"/>
      <c r="B63" s="83"/>
      <c r="C63" s="83"/>
      <c r="D63" s="83" t="s">
        <v>3</v>
      </c>
      <c r="E63" s="83">
        <f>GetStatusCount(E$60:X$60,"L",0)</f>
        <v>0</v>
      </c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</row>
    <row r="64" spans="1:24" ht="12.95" customHeight="1">
      <c r="A64" s="6"/>
      <c r="B64" s="6"/>
      <c r="C64" s="6"/>
      <c r="D64" s="83" t="s">
        <v>7</v>
      </c>
      <c r="E64" s="83">
        <f>GetStatusCount(E$60:X$60,"I",0)</f>
        <v>0</v>
      </c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</row>
    <row r="65" spans="1:24" ht="12.9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</row>
    <row r="66" spans="1:24" ht="12.9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</row>
    <row r="67" spans="1:24" ht="12.9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</row>
    <row r="68" spans="1:24" ht="12.9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</row>
    <row r="69" spans="1:24" ht="12.9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</row>
    <row r="70" spans="1:24" ht="12.9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</row>
    <row r="71" spans="1:24" ht="12.9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</row>
    <row r="72" spans="1:24" ht="12.9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</row>
    <row r="73" spans="1:24" ht="12.9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</row>
    <row r="74" spans="1:24" ht="12.9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spans="1:24" ht="12.9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</row>
  </sheetData>
  <mergeCells count="3">
    <mergeCell ref="U2:X5"/>
    <mergeCell ref="A8:A30"/>
    <mergeCell ref="A31:A51"/>
  </mergeCells>
  <phoneticPr fontId="8" type="noConversion"/>
  <printOptions gridLinesSet="0"/>
  <pageMargins left="0.59055118110236227" right="0.19685039370078741" top="0.39370078740157483" bottom="0.39370078740157483" header="0.11811023622047245" footer="0.11811023622047245"/>
  <pageSetup paperSize="9" scale="90" orientation="portrait" horizontalDpi="300" verticalDpi="300" r:id="rId1"/>
  <headerFooter alignWithMargins="0">
    <oddFooter>制作人: YuYang &amp;D&amp;R 第 &amp;P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121" r:id="rId4" name="Button 1">
              <controlPr locked="0" defaultSize="0" print="0" autoFill="0" autoLine="0" autoPict="0" macro="[0]!ContentsClear">
                <anchor moveWithCells="1" sizeWithCells="1">
                  <from>
                    <xdr:col>3</xdr:col>
                    <xdr:colOff>133350</xdr:colOff>
                    <xdr:row>0</xdr:row>
                    <xdr:rowOff>19050</xdr:rowOff>
                  </from>
                  <to>
                    <xdr:col>3</xdr:col>
                    <xdr:colOff>933450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2" r:id="rId5" name="Button 2">
              <controlPr locked="0" defaultSize="0" print="0" autoFill="0" autoLine="0" autoPict="0" macro="[0]!CalcID">
                <anchor moveWithCells="1" sizeWithCells="1">
                  <from>
                    <xdr:col>3</xdr:col>
                    <xdr:colOff>133350</xdr:colOff>
                    <xdr:row>2</xdr:row>
                    <xdr:rowOff>85725</xdr:rowOff>
                  </from>
                  <to>
                    <xdr:col>3</xdr:col>
                    <xdr:colOff>933450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3" r:id="rId6" name="Button 3">
              <controlPr locked="0" defaultSize="0" print="0" autoFill="0" autoLine="0" autoPict="0" macro="[0]!SetHeade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4" r:id="rId7" name="Button 4">
              <controlPr locked="0" defaultSize="0" print="0" autoFill="0" autoLine="0" autoPict="0" macro="[0]!SetID">
                <anchor moveWithCells="1" sizeWithCells="1">
                  <from>
                    <xdr:col>4</xdr:col>
                    <xdr:colOff>19050</xdr:colOff>
                    <xdr:row>2</xdr:row>
                    <xdr:rowOff>85725</xdr:rowOff>
                  </from>
                  <to>
                    <xdr:col>8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5" r:id="rId8" name="Button 5">
              <controlPr locked="0" defaultSize="0" print="0" autoFill="0" autoLine="0" autoPict="0" macro="[0]!OnPrint">
                <anchor moveWithCells="1" sizeWithCells="1">
                  <from>
                    <xdr:col>8</xdr:col>
                    <xdr:colOff>161925</xdr:colOff>
                    <xdr:row>0</xdr:row>
                    <xdr:rowOff>28575</xdr:rowOff>
                  </from>
                  <to>
                    <xdr:col>11</xdr:col>
                    <xdr:colOff>142875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6" r:id="rId9" name="Button 6">
              <controlPr locked="0" defaultSize="0" print="0" autoFill="0" autoLine="0" autoPict="0" macro="[0]!CreateShee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7" r:id="rId10" name="Button 7">
              <controlPr locked="0" defaultSize="0" print="0" autoFill="0" autoLine="0" autoPict="0" macro="[0]!DeleteSheet">
                <anchor moveWithCells="1" sizeWithCells="1">
                  <from>
                    <xdr:col>1</xdr:col>
                    <xdr:colOff>628650</xdr:colOff>
                    <xdr:row>0</xdr:row>
                    <xdr:rowOff>28575</xdr:rowOff>
                  </from>
                  <to>
                    <xdr:col>2</xdr:col>
                    <xdr:colOff>666750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3</vt:i4>
      </vt:variant>
    </vt:vector>
  </HeadingPairs>
  <TitlesOfParts>
    <vt:vector size="6" baseType="lpstr">
      <vt:lpstr>TCN_保存提交_001</vt:lpstr>
      <vt:lpstr>TCN_保存提交_002</vt:lpstr>
      <vt:lpstr>TCN_删除_003</vt:lpstr>
      <vt:lpstr>TCN_保存提交_001!Print_Area</vt:lpstr>
      <vt:lpstr>TCN_保存提交_002!Print_Area</vt:lpstr>
      <vt:lpstr>TCN_删除_003!Print_Area</vt:lpstr>
    </vt:vector>
  </TitlesOfParts>
  <Company>iVision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YuYang</dc:creator>
  <cp:lastModifiedBy>zhangjia</cp:lastModifiedBy>
  <cp:lastPrinted>2006-07-29T07:06:57Z</cp:lastPrinted>
  <dcterms:created xsi:type="dcterms:W3CDTF">2000-01-12T07:37:42Z</dcterms:created>
  <dcterms:modified xsi:type="dcterms:W3CDTF">2014-08-21T05:32:56Z</dcterms:modified>
</cp:coreProperties>
</file>